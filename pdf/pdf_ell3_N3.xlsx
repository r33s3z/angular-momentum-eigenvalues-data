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397" documentId="115_{FBF713F2-A824-4896-BA3C-8F12178DEDC8}" xr6:coauthVersionLast="47" xr6:coauthVersionMax="47" xr10:uidLastSave="{66B197D5-F0BF-4E32-AE17-F851BCADDFC6}"/>
  <bookViews>
    <workbookView xWindow="-120" yWindow="-120" windowWidth="29040" windowHeight="15720" tabRatio="997" xr2:uid="{52D9C27D-0EF6-DD41-9728-0267E68F7539}"/>
  </bookViews>
  <sheets>
    <sheet name="Brody" sheetId="1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1" i="30" s="1"/>
  <c r="D1" i="30" s="1"/>
  <c r="E1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1" i="18" s="1"/>
  <c r="D1" i="18" s="1"/>
  <c r="E1" i="18" s="1"/>
  <c r="H3" i="17"/>
  <c r="C5" i="17" s="1"/>
  <c r="D5" i="17" s="1"/>
  <c r="E5" i="17" s="1"/>
  <c r="H3" i="16"/>
  <c r="C5" i="16" s="1"/>
  <c r="D5" i="16" s="1"/>
  <c r="E5" i="16" s="1"/>
  <c r="H3" i="15"/>
  <c r="C1" i="15" s="1"/>
  <c r="D1" i="15" s="1"/>
  <c r="E1" i="15" s="1"/>
  <c r="H3" i="14"/>
  <c r="C1" i="14" s="1"/>
  <c r="D1" i="14" s="1"/>
  <c r="E1" i="14" s="1"/>
  <c r="H3" i="13"/>
  <c r="C1" i="13" s="1"/>
  <c r="D1" i="13" s="1"/>
  <c r="E1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1" i="8" s="1"/>
  <c r="D1" i="8" s="1"/>
  <c r="E1" i="8" s="1"/>
  <c r="H3" i="7"/>
  <c r="C5" i="7" s="1"/>
  <c r="D5" i="7" s="1"/>
  <c r="E5" i="7" s="1"/>
  <c r="H3" i="6"/>
  <c r="C1" i="6" s="1"/>
  <c r="D1" i="6" s="1"/>
  <c r="E1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1" i="2" s="1"/>
  <c r="D1" i="2" s="1"/>
  <c r="E1" i="2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C1" i="32" l="1"/>
  <c r="D1" i="32" s="1"/>
  <c r="E1" i="32" s="1"/>
  <c r="C2" i="32"/>
  <c r="D2" i="32" s="1"/>
  <c r="E2" i="32" s="1"/>
  <c r="C9" i="31"/>
  <c r="D9" i="31" s="1"/>
  <c r="E9" i="31" s="1"/>
  <c r="C13" i="31"/>
  <c r="D13" i="31" s="1"/>
  <c r="E13" i="31" s="1"/>
  <c r="C17" i="31"/>
  <c r="D17" i="31" s="1"/>
  <c r="E17" i="31" s="1"/>
  <c r="C21" i="31"/>
  <c r="D21" i="31" s="1"/>
  <c r="E21" i="31" s="1"/>
  <c r="C25" i="31"/>
  <c r="D25" i="31" s="1"/>
  <c r="E25" i="31" s="1"/>
  <c r="C29" i="31"/>
  <c r="D29" i="31" s="1"/>
  <c r="E29" i="31" s="1"/>
  <c r="C33" i="31"/>
  <c r="D33" i="31" s="1"/>
  <c r="E33" i="31" s="1"/>
  <c r="C37" i="31"/>
  <c r="D37" i="31" s="1"/>
  <c r="E37" i="31" s="1"/>
  <c r="C2" i="31"/>
  <c r="D2" i="31" s="1"/>
  <c r="E2" i="31" s="1"/>
  <c r="C3" i="31"/>
  <c r="D3" i="31" s="1"/>
  <c r="E3" i="31" s="1"/>
  <c r="C2" i="30"/>
  <c r="D2" i="30" s="1"/>
  <c r="E2" i="30" s="1"/>
  <c r="C22" i="30"/>
  <c r="D22" i="30" s="1"/>
  <c r="E22" i="30" s="1"/>
  <c r="C25" i="30"/>
  <c r="D25" i="30" s="1"/>
  <c r="E25" i="30" s="1"/>
  <c r="C30" i="30"/>
  <c r="D30" i="30" s="1"/>
  <c r="E30" i="30" s="1"/>
  <c r="C21" i="30"/>
  <c r="D21" i="30" s="1"/>
  <c r="E21" i="30" s="1"/>
  <c r="C34" i="30"/>
  <c r="D34" i="30" s="1"/>
  <c r="E34" i="30" s="1"/>
  <c r="C3" i="30"/>
  <c r="D3" i="30" s="1"/>
  <c r="E3" i="30" s="1"/>
  <c r="C5" i="30"/>
  <c r="D5" i="30" s="1"/>
  <c r="E5" i="30" s="1"/>
  <c r="C37" i="30"/>
  <c r="D37" i="30" s="1"/>
  <c r="E37" i="30" s="1"/>
  <c r="C14" i="30"/>
  <c r="D14" i="30" s="1"/>
  <c r="E14" i="30" s="1"/>
  <c r="C38" i="30"/>
  <c r="D38" i="30" s="1"/>
  <c r="E38" i="30" s="1"/>
  <c r="C6" i="30"/>
  <c r="D6" i="30" s="1"/>
  <c r="E6" i="30" s="1"/>
  <c r="C33" i="30"/>
  <c r="D33" i="30" s="1"/>
  <c r="E33" i="30" s="1"/>
  <c r="C13" i="30"/>
  <c r="D13" i="30" s="1"/>
  <c r="E13" i="30" s="1"/>
  <c r="C17" i="30"/>
  <c r="D17" i="30" s="1"/>
  <c r="E17" i="30" s="1"/>
  <c r="C26" i="30"/>
  <c r="D26" i="30" s="1"/>
  <c r="E26" i="30" s="1"/>
  <c r="C29" i="30"/>
  <c r="D29" i="30" s="1"/>
  <c r="E29" i="30" s="1"/>
  <c r="C9" i="30"/>
  <c r="D9" i="30" s="1"/>
  <c r="E9" i="30" s="1"/>
  <c r="C10" i="30"/>
  <c r="D10" i="30" s="1"/>
  <c r="E10" i="30" s="1"/>
  <c r="C18" i="30"/>
  <c r="D18" i="30" s="1"/>
  <c r="E18" i="30" s="1"/>
  <c r="C2" i="29"/>
  <c r="D2" i="29" s="1"/>
  <c r="E2" i="29" s="1"/>
  <c r="C2" i="28"/>
  <c r="D2" i="28" s="1"/>
  <c r="E2" i="28" s="1"/>
  <c r="C2" i="27"/>
  <c r="D2" i="27" s="1"/>
  <c r="E2" i="27" s="1"/>
  <c r="C18" i="26"/>
  <c r="D18" i="26" s="1"/>
  <c r="E18" i="26" s="1"/>
  <c r="C22" i="26"/>
  <c r="D22" i="26" s="1"/>
  <c r="E22" i="26" s="1"/>
  <c r="C2" i="26"/>
  <c r="D2" i="26" s="1"/>
  <c r="E2" i="26" s="1"/>
  <c r="C26" i="26"/>
  <c r="D26" i="26" s="1"/>
  <c r="E26" i="26" s="1"/>
  <c r="C30" i="26"/>
  <c r="D30" i="26" s="1"/>
  <c r="E30" i="26" s="1"/>
  <c r="C38" i="26"/>
  <c r="D38" i="26" s="1"/>
  <c r="E38" i="26" s="1"/>
  <c r="C34" i="26"/>
  <c r="D34" i="26" s="1"/>
  <c r="E34" i="26" s="1"/>
  <c r="C6" i="26"/>
  <c r="D6" i="26" s="1"/>
  <c r="E6" i="26" s="1"/>
  <c r="C10" i="26"/>
  <c r="D10" i="26" s="1"/>
  <c r="E10" i="26" s="1"/>
  <c r="C14" i="26"/>
  <c r="D14" i="26" s="1"/>
  <c r="E14" i="26" s="1"/>
  <c r="C2" i="25"/>
  <c r="D2" i="25" s="1"/>
  <c r="E2" i="25" s="1"/>
  <c r="C25" i="24"/>
  <c r="D25" i="24" s="1"/>
  <c r="E25" i="24" s="1"/>
  <c r="C29" i="24"/>
  <c r="D29" i="24" s="1"/>
  <c r="E29" i="24" s="1"/>
  <c r="C21" i="24"/>
  <c r="D21" i="24" s="1"/>
  <c r="E21" i="24" s="1"/>
  <c r="C33" i="24"/>
  <c r="D33" i="24" s="1"/>
  <c r="E33" i="24" s="1"/>
  <c r="C37" i="24"/>
  <c r="D37" i="24" s="1"/>
  <c r="E37" i="24" s="1"/>
  <c r="C2" i="24"/>
  <c r="D2" i="24" s="1"/>
  <c r="E2" i="24" s="1"/>
  <c r="C9" i="24"/>
  <c r="D9" i="24" s="1"/>
  <c r="E9" i="24" s="1"/>
  <c r="C13" i="24"/>
  <c r="D13" i="24" s="1"/>
  <c r="E13" i="24" s="1"/>
  <c r="C17" i="24"/>
  <c r="D17" i="24" s="1"/>
  <c r="E17" i="24" s="1"/>
  <c r="C2" i="23"/>
  <c r="D2" i="23" s="1"/>
  <c r="E2" i="23" s="1"/>
  <c r="C2" i="22"/>
  <c r="D2" i="22" s="1"/>
  <c r="E2" i="22" s="1"/>
  <c r="C34" i="21"/>
  <c r="D34" i="21" s="1"/>
  <c r="E34" i="21" s="1"/>
  <c r="C6" i="21"/>
  <c r="D6" i="21" s="1"/>
  <c r="E6" i="21" s="1"/>
  <c r="C26" i="21"/>
  <c r="D26" i="21" s="1"/>
  <c r="E26" i="21" s="1"/>
  <c r="C37" i="21"/>
  <c r="D37" i="21" s="1"/>
  <c r="E37" i="21" s="1"/>
  <c r="C25" i="21"/>
  <c r="D25" i="21" s="1"/>
  <c r="E25" i="21" s="1"/>
  <c r="C13" i="21"/>
  <c r="D13" i="21" s="1"/>
  <c r="E13" i="21" s="1"/>
  <c r="C29" i="21"/>
  <c r="D29" i="21" s="1"/>
  <c r="E29" i="21" s="1"/>
  <c r="C2" i="21"/>
  <c r="D2" i="21" s="1"/>
  <c r="E2" i="21" s="1"/>
  <c r="C18" i="21"/>
  <c r="D18" i="21" s="1"/>
  <c r="E18" i="21" s="1"/>
  <c r="C3" i="21"/>
  <c r="D3" i="21" s="1"/>
  <c r="E3" i="21" s="1"/>
  <c r="C22" i="21"/>
  <c r="D22" i="21" s="1"/>
  <c r="E22" i="21" s="1"/>
  <c r="C14" i="21"/>
  <c r="D14" i="21" s="1"/>
  <c r="E14" i="21" s="1"/>
  <c r="C30" i="21"/>
  <c r="D30" i="21" s="1"/>
  <c r="E30" i="21" s="1"/>
  <c r="C21" i="21"/>
  <c r="D21" i="21" s="1"/>
  <c r="E21" i="21" s="1"/>
  <c r="C9" i="21"/>
  <c r="D9" i="21" s="1"/>
  <c r="E9" i="21" s="1"/>
  <c r="C10" i="21"/>
  <c r="D10" i="21" s="1"/>
  <c r="E10" i="21" s="1"/>
  <c r="C17" i="21"/>
  <c r="D17" i="21" s="1"/>
  <c r="E17" i="21" s="1"/>
  <c r="C33" i="21"/>
  <c r="D33" i="21" s="1"/>
  <c r="E33" i="21" s="1"/>
  <c r="C2" i="20"/>
  <c r="D2" i="20" s="1"/>
  <c r="E2" i="20" s="1"/>
  <c r="C26" i="19"/>
  <c r="D26" i="19" s="1"/>
  <c r="E26" i="19" s="1"/>
  <c r="C30" i="19"/>
  <c r="D30" i="19" s="1"/>
  <c r="E30" i="19" s="1"/>
  <c r="C10" i="19"/>
  <c r="D10" i="19" s="1"/>
  <c r="E10" i="19" s="1"/>
  <c r="C29" i="19"/>
  <c r="D29" i="19" s="1"/>
  <c r="E29" i="19" s="1"/>
  <c r="C14" i="19"/>
  <c r="D14" i="19" s="1"/>
  <c r="E14" i="19" s="1"/>
  <c r="C17" i="19"/>
  <c r="D17" i="19" s="1"/>
  <c r="E17" i="19" s="1"/>
  <c r="C18" i="19"/>
  <c r="D18" i="19" s="1"/>
  <c r="E18" i="19" s="1"/>
  <c r="C34" i="19"/>
  <c r="D34" i="19" s="1"/>
  <c r="E34" i="19" s="1"/>
  <c r="C33" i="19"/>
  <c r="D33" i="19" s="1"/>
  <c r="E33" i="19" s="1"/>
  <c r="C2" i="19"/>
  <c r="D2" i="19" s="1"/>
  <c r="E2" i="19" s="1"/>
  <c r="C21" i="19"/>
  <c r="D21" i="19" s="1"/>
  <c r="E21" i="19" s="1"/>
  <c r="C37" i="19"/>
  <c r="D37" i="19" s="1"/>
  <c r="E37" i="19" s="1"/>
  <c r="C13" i="19"/>
  <c r="D13" i="19" s="1"/>
  <c r="E13" i="19" s="1"/>
  <c r="C6" i="19"/>
  <c r="D6" i="19" s="1"/>
  <c r="E6" i="19" s="1"/>
  <c r="C22" i="19"/>
  <c r="D22" i="19" s="1"/>
  <c r="E22" i="19" s="1"/>
  <c r="C38" i="19"/>
  <c r="D38" i="19" s="1"/>
  <c r="E38" i="19" s="1"/>
  <c r="C9" i="19"/>
  <c r="D9" i="19" s="1"/>
  <c r="E9" i="19" s="1"/>
  <c r="C25" i="19"/>
  <c r="D25" i="19" s="1"/>
  <c r="E25" i="19" s="1"/>
  <c r="C5" i="18"/>
  <c r="D5" i="18" s="1"/>
  <c r="E5" i="18" s="1"/>
  <c r="C2" i="18"/>
  <c r="D2" i="18" s="1"/>
  <c r="E2" i="18" s="1"/>
  <c r="C2" i="17"/>
  <c r="D2" i="17" s="1"/>
  <c r="E2" i="17" s="1"/>
  <c r="C2" i="16"/>
  <c r="D2" i="16" s="1"/>
  <c r="E2" i="16" s="1"/>
  <c r="C2" i="15"/>
  <c r="D2" i="15" s="1"/>
  <c r="E2" i="15" s="1"/>
  <c r="C3" i="15"/>
  <c r="D3" i="15" s="1"/>
  <c r="E3" i="15" s="1"/>
  <c r="C5" i="15"/>
  <c r="D5" i="15" s="1"/>
  <c r="E5" i="15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15" i="14"/>
  <c r="D15" i="14" s="1"/>
  <c r="E15" i="14" s="1"/>
  <c r="C39" i="14"/>
  <c r="D39" i="14" s="1"/>
  <c r="E39" i="14" s="1"/>
  <c r="C11" i="14"/>
  <c r="D11" i="14" s="1"/>
  <c r="E11" i="14" s="1"/>
  <c r="C35" i="14"/>
  <c r="D35" i="14" s="1"/>
  <c r="E35" i="14" s="1"/>
  <c r="C2" i="14"/>
  <c r="D2" i="14" s="1"/>
  <c r="E2" i="14" s="1"/>
  <c r="C3" i="14"/>
  <c r="D3" i="14" s="1"/>
  <c r="E3" i="14" s="1"/>
  <c r="C5" i="14"/>
  <c r="D5" i="14" s="1"/>
  <c r="E5" i="14" s="1"/>
  <c r="C7" i="14"/>
  <c r="D7" i="14" s="1"/>
  <c r="E7" i="14" s="1"/>
  <c r="C2" i="13"/>
  <c r="D2" i="13" s="1"/>
  <c r="E2" i="13" s="1"/>
  <c r="C3" i="13"/>
  <c r="D3" i="13" s="1"/>
  <c r="E3" i="13" s="1"/>
  <c r="C5" i="13"/>
  <c r="D5" i="13" s="1"/>
  <c r="E5" i="13" s="1"/>
  <c r="C3" i="12"/>
  <c r="D3" i="12" s="1"/>
  <c r="E3" i="12" s="1"/>
  <c r="C2" i="12"/>
  <c r="D2" i="12" s="1"/>
  <c r="E2" i="12" s="1"/>
  <c r="C1" i="12"/>
  <c r="D1" i="12" s="1"/>
  <c r="E1" i="12" s="1"/>
  <c r="C6" i="11"/>
  <c r="D6" i="11" s="1"/>
  <c r="E6" i="11" s="1"/>
  <c r="C18" i="11"/>
  <c r="D18" i="11" s="1"/>
  <c r="E18" i="11" s="1"/>
  <c r="C14" i="11"/>
  <c r="D14" i="11" s="1"/>
  <c r="E14" i="11" s="1"/>
  <c r="C22" i="11"/>
  <c r="D22" i="11" s="1"/>
  <c r="E22" i="11" s="1"/>
  <c r="C2" i="11"/>
  <c r="D2" i="11" s="1"/>
  <c r="E2" i="11" s="1"/>
  <c r="C30" i="11"/>
  <c r="D30" i="11" s="1"/>
  <c r="E30" i="11" s="1"/>
  <c r="C10" i="11"/>
  <c r="D10" i="11" s="1"/>
  <c r="E10" i="11" s="1"/>
  <c r="C34" i="11"/>
  <c r="D34" i="11" s="1"/>
  <c r="E34" i="11" s="1"/>
  <c r="C26" i="11"/>
  <c r="D26" i="11" s="1"/>
  <c r="E26" i="11" s="1"/>
  <c r="C38" i="11"/>
  <c r="D38" i="11" s="1"/>
  <c r="E38" i="11" s="1"/>
  <c r="C9" i="10"/>
  <c r="D9" i="10" s="1"/>
  <c r="E9" i="10" s="1"/>
  <c r="C13" i="10"/>
  <c r="D13" i="10" s="1"/>
  <c r="E13" i="10" s="1"/>
  <c r="C2" i="10"/>
  <c r="D2" i="10" s="1"/>
  <c r="E2" i="10" s="1"/>
  <c r="C21" i="10"/>
  <c r="D21" i="10" s="1"/>
  <c r="E21" i="10" s="1"/>
  <c r="C25" i="10"/>
  <c r="D25" i="10" s="1"/>
  <c r="E25" i="10" s="1"/>
  <c r="C29" i="10"/>
  <c r="D29" i="10" s="1"/>
  <c r="E29" i="10" s="1"/>
  <c r="C17" i="10"/>
  <c r="D17" i="10" s="1"/>
  <c r="E17" i="10" s="1"/>
  <c r="C33" i="10"/>
  <c r="D33" i="10" s="1"/>
  <c r="E33" i="10" s="1"/>
  <c r="C37" i="10"/>
  <c r="D37" i="10" s="1"/>
  <c r="E37" i="10" s="1"/>
  <c r="C34" i="9"/>
  <c r="D34" i="9" s="1"/>
  <c r="E34" i="9" s="1"/>
  <c r="C6" i="9"/>
  <c r="D6" i="9" s="1"/>
  <c r="E6" i="9" s="1"/>
  <c r="C22" i="9"/>
  <c r="D22" i="9" s="1"/>
  <c r="E22" i="9" s="1"/>
  <c r="C38" i="9"/>
  <c r="D38" i="9" s="1"/>
  <c r="E38" i="9" s="1"/>
  <c r="C25" i="9"/>
  <c r="D25" i="9" s="1"/>
  <c r="E25" i="9" s="1"/>
  <c r="C10" i="9"/>
  <c r="D10" i="9" s="1"/>
  <c r="E10" i="9" s="1"/>
  <c r="C26" i="9"/>
  <c r="D26" i="9" s="1"/>
  <c r="E26" i="9" s="1"/>
  <c r="C13" i="9"/>
  <c r="D13" i="9" s="1"/>
  <c r="E13" i="9" s="1"/>
  <c r="C29" i="9"/>
  <c r="D29" i="9" s="1"/>
  <c r="E29" i="9" s="1"/>
  <c r="C14" i="9"/>
  <c r="D14" i="9" s="1"/>
  <c r="E14" i="9" s="1"/>
  <c r="C30" i="9"/>
  <c r="D30" i="9" s="1"/>
  <c r="E30" i="9" s="1"/>
  <c r="C9" i="9"/>
  <c r="D9" i="9" s="1"/>
  <c r="E9" i="9" s="1"/>
  <c r="C17" i="9"/>
  <c r="D17" i="9" s="1"/>
  <c r="E17" i="9" s="1"/>
  <c r="C33" i="9"/>
  <c r="D33" i="9" s="1"/>
  <c r="E33" i="9" s="1"/>
  <c r="C2" i="9"/>
  <c r="D2" i="9" s="1"/>
  <c r="E2" i="9" s="1"/>
  <c r="C18" i="9"/>
  <c r="D18" i="9" s="1"/>
  <c r="E18" i="9" s="1"/>
  <c r="C3" i="9"/>
  <c r="D3" i="9" s="1"/>
  <c r="E3" i="9" s="1"/>
  <c r="C21" i="9"/>
  <c r="D21" i="9" s="1"/>
  <c r="E21" i="9" s="1"/>
  <c r="C37" i="9"/>
  <c r="D37" i="9" s="1"/>
  <c r="E37" i="9" s="1"/>
  <c r="C2" i="8"/>
  <c r="D2" i="8" s="1"/>
  <c r="E2" i="8" s="1"/>
  <c r="C5" i="8"/>
  <c r="D5" i="8" s="1"/>
  <c r="E5" i="8" s="1"/>
  <c r="C21" i="7"/>
  <c r="D21" i="7" s="1"/>
  <c r="E21" i="7" s="1"/>
  <c r="C25" i="7"/>
  <c r="D25" i="7" s="1"/>
  <c r="E25" i="7" s="1"/>
  <c r="C29" i="7"/>
  <c r="D29" i="7" s="1"/>
  <c r="E29" i="7" s="1"/>
  <c r="C33" i="7"/>
  <c r="D33" i="7" s="1"/>
  <c r="E33" i="7" s="1"/>
  <c r="C37" i="7"/>
  <c r="D37" i="7" s="1"/>
  <c r="E37" i="7" s="1"/>
  <c r="C17" i="7"/>
  <c r="D17" i="7" s="1"/>
  <c r="E17" i="7" s="1"/>
  <c r="C9" i="7"/>
  <c r="D9" i="7" s="1"/>
  <c r="E9" i="7" s="1"/>
  <c r="C13" i="7"/>
  <c r="D13" i="7" s="1"/>
  <c r="E13" i="7" s="1"/>
  <c r="C5" i="6"/>
  <c r="D5" i="6" s="1"/>
  <c r="E5" i="6" s="1"/>
  <c r="C2" i="6"/>
  <c r="D2" i="6" s="1"/>
  <c r="E2" i="6" s="1"/>
  <c r="C37" i="5"/>
  <c r="D37" i="5" s="1"/>
  <c r="E37" i="5" s="1"/>
  <c r="C17" i="5"/>
  <c r="D17" i="5" s="1"/>
  <c r="E17" i="5" s="1"/>
  <c r="C29" i="5"/>
  <c r="D29" i="5" s="1"/>
  <c r="E29" i="5" s="1"/>
  <c r="C21" i="5"/>
  <c r="D21" i="5" s="1"/>
  <c r="E21" i="5" s="1"/>
  <c r="C2" i="5"/>
  <c r="D2" i="5" s="1"/>
  <c r="E2" i="5" s="1"/>
  <c r="C9" i="5"/>
  <c r="D9" i="5" s="1"/>
  <c r="E9" i="5" s="1"/>
  <c r="C25" i="5"/>
  <c r="D25" i="5" s="1"/>
  <c r="E25" i="5" s="1"/>
  <c r="C33" i="5"/>
  <c r="D33" i="5" s="1"/>
  <c r="E33" i="5" s="1"/>
  <c r="C13" i="5"/>
  <c r="D13" i="5" s="1"/>
  <c r="E13" i="5" s="1"/>
  <c r="C2" i="4"/>
  <c r="D2" i="4" s="1"/>
  <c r="E2" i="4" s="1"/>
  <c r="C4" i="2"/>
  <c r="D4" i="2" s="1"/>
  <c r="E4" i="2" s="1"/>
  <c r="C13" i="2"/>
  <c r="D13" i="2" s="1"/>
  <c r="E13" i="2" s="1"/>
  <c r="C9" i="2"/>
  <c r="D9" i="2" s="1"/>
  <c r="E9" i="2" s="1"/>
  <c r="C5" i="2"/>
  <c r="D5" i="2" s="1"/>
  <c r="E5" i="2" s="1"/>
  <c r="C2" i="2"/>
  <c r="D2" i="2" s="1"/>
  <c r="E2" i="2" s="1"/>
  <c r="C3" i="2"/>
  <c r="D3" i="2" s="1"/>
  <c r="E3" i="2" s="1"/>
  <c r="C9" i="32"/>
  <c r="D9" i="32" s="1"/>
  <c r="E9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9" i="32"/>
  <c r="D29" i="32" s="1"/>
  <c r="E29" i="32" s="1"/>
  <c r="C33" i="32"/>
  <c r="D33" i="32" s="1"/>
  <c r="E33" i="32" s="1"/>
  <c r="C37" i="32"/>
  <c r="D37" i="32" s="1"/>
  <c r="E37" i="32" s="1"/>
  <c r="C6" i="32"/>
  <c r="D6" i="32" s="1"/>
  <c r="E6" i="32" s="1"/>
  <c r="C10" i="32"/>
  <c r="D10" i="32" s="1"/>
  <c r="E10" i="32" s="1"/>
  <c r="C14" i="32"/>
  <c r="D14" i="32" s="1"/>
  <c r="E14" i="32" s="1"/>
  <c r="C18" i="32"/>
  <c r="D18" i="32" s="1"/>
  <c r="E18" i="32" s="1"/>
  <c r="C22" i="32"/>
  <c r="D22" i="32" s="1"/>
  <c r="E22" i="3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9" i="29"/>
  <c r="D9" i="29" s="1"/>
  <c r="E9" i="29" s="1"/>
  <c r="C13" i="29"/>
  <c r="D13" i="29" s="1"/>
  <c r="E13" i="29" s="1"/>
  <c r="C17" i="29"/>
  <c r="D17" i="29" s="1"/>
  <c r="E17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37" i="29"/>
  <c r="D37" i="29" s="1"/>
  <c r="E37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3" i="28"/>
  <c r="D3" i="28" s="1"/>
  <c r="E3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9" i="27"/>
  <c r="D9" i="27" s="1"/>
  <c r="E9" i="27" s="1"/>
  <c r="C13" i="27"/>
  <c r="D13" i="27" s="1"/>
  <c r="E13" i="27" s="1"/>
  <c r="C17" i="27"/>
  <c r="D17" i="27" s="1"/>
  <c r="E17" i="27" s="1"/>
  <c r="C21" i="27"/>
  <c r="D21" i="27" s="1"/>
  <c r="E21" i="27" s="1"/>
  <c r="C25" i="27"/>
  <c r="D25" i="27" s="1"/>
  <c r="E25" i="27" s="1"/>
  <c r="C29" i="27"/>
  <c r="D29" i="27" s="1"/>
  <c r="E29" i="27" s="1"/>
  <c r="C33" i="27"/>
  <c r="D33" i="27" s="1"/>
  <c r="E33" i="27" s="1"/>
  <c r="C37" i="27"/>
  <c r="D37" i="27" s="1"/>
  <c r="E37" i="27" s="1"/>
  <c r="C6" i="27"/>
  <c r="D6" i="27" s="1"/>
  <c r="E6" i="27" s="1"/>
  <c r="C10" i="27"/>
  <c r="D10" i="27" s="1"/>
  <c r="E10" i="27" s="1"/>
  <c r="C14" i="27"/>
  <c r="D14" i="27" s="1"/>
  <c r="E14" i="27" s="1"/>
  <c r="C18" i="27"/>
  <c r="D18" i="27" s="1"/>
  <c r="E18" i="27" s="1"/>
  <c r="C22" i="27"/>
  <c r="D22" i="27" s="1"/>
  <c r="E22" i="27" s="1"/>
  <c r="C26" i="27"/>
  <c r="D26" i="27" s="1"/>
  <c r="E26" i="27" s="1"/>
  <c r="C30" i="27"/>
  <c r="D30" i="27" s="1"/>
  <c r="E30" i="27" s="1"/>
  <c r="C34" i="27"/>
  <c r="D34" i="27" s="1"/>
  <c r="E34" i="27" s="1"/>
  <c r="C38" i="27"/>
  <c r="D38" i="27" s="1"/>
  <c r="E38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9" i="25"/>
  <c r="D9" i="25" s="1"/>
  <c r="E9" i="25" s="1"/>
  <c r="C13" i="25"/>
  <c r="D13" i="25" s="1"/>
  <c r="E13" i="25" s="1"/>
  <c r="C17" i="25"/>
  <c r="D17" i="25" s="1"/>
  <c r="E17" i="25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17" i="22"/>
  <c r="D17" i="22" s="1"/>
  <c r="E17" i="22" s="1"/>
  <c r="C21" i="22"/>
  <c r="D21" i="22" s="1"/>
  <c r="E21" i="22" s="1"/>
  <c r="C25" i="22"/>
  <c r="D25" i="22" s="1"/>
  <c r="E25" i="22" s="1"/>
  <c r="C29" i="22"/>
  <c r="D29" i="22" s="1"/>
  <c r="E29" i="22" s="1"/>
  <c r="C33" i="22"/>
  <c r="D33" i="22" s="1"/>
  <c r="E33" i="22" s="1"/>
  <c r="C37" i="22"/>
  <c r="D37" i="22" s="1"/>
  <c r="E3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3" i="22"/>
  <c r="D3" i="22" s="1"/>
  <c r="E3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38" i="21"/>
  <c r="D38" i="21" s="1"/>
  <c r="E38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" i="21"/>
  <c r="D1" i="21" s="1"/>
  <c r="E1" i="21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9" i="18"/>
  <c r="D9" i="18" s="1"/>
  <c r="E9" i="18" s="1"/>
  <c r="C13" i="18"/>
  <c r="D13" i="18" s="1"/>
  <c r="E13" i="18" s="1"/>
  <c r="C17" i="18"/>
  <c r="D17" i="18" s="1"/>
  <c r="E17" i="18" s="1"/>
  <c r="C21" i="18"/>
  <c r="D21" i="18" s="1"/>
  <c r="E21" i="18" s="1"/>
  <c r="C25" i="18"/>
  <c r="D25" i="18" s="1"/>
  <c r="E25" i="18" s="1"/>
  <c r="C29" i="18"/>
  <c r="D29" i="18" s="1"/>
  <c r="E29" i="18" s="1"/>
  <c r="C33" i="18"/>
  <c r="D33" i="18" s="1"/>
  <c r="E33" i="18" s="1"/>
  <c r="C37" i="18"/>
  <c r="D37" i="18" s="1"/>
  <c r="E37" i="18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3" i="18"/>
  <c r="D3" i="18" s="1"/>
  <c r="E3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9" i="17"/>
  <c r="D9" i="17" s="1"/>
  <c r="E9" i="17" s="1"/>
  <c r="C13" i="17"/>
  <c r="D13" i="17" s="1"/>
  <c r="E13" i="17" s="1"/>
  <c r="C17" i="17"/>
  <c r="D17" i="17" s="1"/>
  <c r="E17" i="17" s="1"/>
  <c r="C21" i="17"/>
  <c r="D21" i="17" s="1"/>
  <c r="E21" i="17" s="1"/>
  <c r="C25" i="17"/>
  <c r="D25" i="17" s="1"/>
  <c r="E25" i="17" s="1"/>
  <c r="C29" i="17"/>
  <c r="D29" i="17" s="1"/>
  <c r="E29" i="17" s="1"/>
  <c r="C33" i="17"/>
  <c r="D33" i="17" s="1"/>
  <c r="E33" i="17" s="1"/>
  <c r="C37" i="17"/>
  <c r="D37" i="17" s="1"/>
  <c r="E37" i="17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29" i="16"/>
  <c r="D29" i="16" s="1"/>
  <c r="E29" i="16" s="1"/>
  <c r="C33" i="16"/>
  <c r="D33" i="16" s="1"/>
  <c r="E33" i="16" s="1"/>
  <c r="C37" i="16"/>
  <c r="D37" i="16" s="1"/>
  <c r="E37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9" i="15"/>
  <c r="D9" i="15" s="1"/>
  <c r="E9" i="15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37" i="15"/>
  <c r="D37" i="15" s="1"/>
  <c r="E37" i="15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9" i="13"/>
  <c r="D9" i="13" s="1"/>
  <c r="E9" i="13" s="1"/>
  <c r="C13" i="13"/>
  <c r="D13" i="13" s="1"/>
  <c r="E13" i="13" s="1"/>
  <c r="C17" i="13"/>
  <c r="D17" i="13" s="1"/>
  <c r="E17" i="13" s="1"/>
  <c r="C21" i="13"/>
  <c r="D21" i="13" s="1"/>
  <c r="E21" i="13" s="1"/>
  <c r="C25" i="13"/>
  <c r="D25" i="13" s="1"/>
  <c r="E25" i="13" s="1"/>
  <c r="C29" i="13"/>
  <c r="D29" i="13" s="1"/>
  <c r="E29" i="13" s="1"/>
  <c r="C33" i="13"/>
  <c r="D33" i="13" s="1"/>
  <c r="E33" i="13" s="1"/>
  <c r="C37" i="13"/>
  <c r="D37" i="13" s="1"/>
  <c r="E37" i="13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9" i="12"/>
  <c r="D9" i="12" s="1"/>
  <c r="E9" i="12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6" i="12"/>
  <c r="D6" i="12" s="1"/>
  <c r="E6" i="12" s="1"/>
  <c r="C10" i="12"/>
  <c r="D10" i="12" s="1"/>
  <c r="E10" i="12" s="1"/>
  <c r="C14" i="12"/>
  <c r="D14" i="12" s="1"/>
  <c r="E14" i="12" s="1"/>
  <c r="C18" i="12"/>
  <c r="D18" i="12" s="1"/>
  <c r="E18" i="12" s="1"/>
  <c r="C22" i="12"/>
  <c r="D22" i="12" s="1"/>
  <c r="E22" i="12" s="1"/>
  <c r="C26" i="12"/>
  <c r="D26" i="12" s="1"/>
  <c r="E26" i="12" s="1"/>
  <c r="C30" i="12"/>
  <c r="D30" i="12" s="1"/>
  <c r="E30" i="12" s="1"/>
  <c r="C34" i="12"/>
  <c r="D34" i="12" s="1"/>
  <c r="E34" i="12" s="1"/>
  <c r="C38" i="12"/>
  <c r="D38" i="12" s="1"/>
  <c r="E38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9" i="11"/>
  <c r="D9" i="11" s="1"/>
  <c r="E9" i="11" s="1"/>
  <c r="C13" i="11"/>
  <c r="D13" i="11" s="1"/>
  <c r="E13" i="11" s="1"/>
  <c r="C17" i="11"/>
  <c r="D17" i="11" s="1"/>
  <c r="E17" i="11" s="1"/>
  <c r="C21" i="11"/>
  <c r="D21" i="11" s="1"/>
  <c r="E21" i="11" s="1"/>
  <c r="C25" i="11"/>
  <c r="D25" i="11" s="1"/>
  <c r="E25" i="11" s="1"/>
  <c r="C29" i="11"/>
  <c r="D29" i="11" s="1"/>
  <c r="E29" i="11" s="1"/>
  <c r="C33" i="11"/>
  <c r="D33" i="11" s="1"/>
  <c r="E33" i="11" s="1"/>
  <c r="C37" i="11"/>
  <c r="D37" i="11" s="1"/>
  <c r="E37" i="11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1" i="11"/>
  <c r="D1" i="11" s="1"/>
  <c r="E1" i="11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9" i="8"/>
  <c r="D9" i="8" s="1"/>
  <c r="E9" i="8" s="1"/>
  <c r="C13" i="8"/>
  <c r="D13" i="8" s="1"/>
  <c r="E13" i="8" s="1"/>
  <c r="C17" i="8"/>
  <c r="D17" i="8" s="1"/>
  <c r="E17" i="8" s="1"/>
  <c r="C21" i="8"/>
  <c r="D21" i="8" s="1"/>
  <c r="E21" i="8" s="1"/>
  <c r="C25" i="8"/>
  <c r="D25" i="8" s="1"/>
  <c r="E25" i="8" s="1"/>
  <c r="C29" i="8"/>
  <c r="D29" i="8" s="1"/>
  <c r="E29" i="8" s="1"/>
  <c r="C33" i="8"/>
  <c r="D33" i="8" s="1"/>
  <c r="E33" i="8" s="1"/>
  <c r="C37" i="8"/>
  <c r="D37" i="8" s="1"/>
  <c r="E37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2" i="7"/>
  <c r="D2" i="7" s="1"/>
  <c r="E2" i="7" s="1"/>
  <c r="C6" i="7"/>
  <c r="D6" i="7" s="1"/>
  <c r="E6" i="7" s="1"/>
  <c r="C10" i="7"/>
  <c r="D10" i="7" s="1"/>
  <c r="E10" i="7" s="1"/>
  <c r="C14" i="7"/>
  <c r="D14" i="7" s="1"/>
  <c r="E14" i="7" s="1"/>
  <c r="C18" i="7"/>
  <c r="D18" i="7" s="1"/>
  <c r="E18" i="7" s="1"/>
  <c r="C22" i="7"/>
  <c r="D22" i="7" s="1"/>
  <c r="E22" i="7" s="1"/>
  <c r="C26" i="7"/>
  <c r="D26" i="7" s="1"/>
  <c r="E26" i="7" s="1"/>
  <c r="C30" i="7"/>
  <c r="D30" i="7" s="1"/>
  <c r="E30" i="7" s="1"/>
  <c r="C34" i="7"/>
  <c r="D34" i="7" s="1"/>
  <c r="E34" i="7" s="1"/>
  <c r="C38" i="7"/>
  <c r="D38" i="7" s="1"/>
  <c r="E38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29" i="6"/>
  <c r="D29" i="6" s="1"/>
  <c r="E29" i="6" s="1"/>
  <c r="C33" i="6"/>
  <c r="D33" i="6" s="1"/>
  <c r="E33" i="6" s="1"/>
  <c r="C37" i="6"/>
  <c r="D37" i="6" s="1"/>
  <c r="E37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3" i="5"/>
  <c r="D3" i="5" s="1"/>
  <c r="E3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9" i="5"/>
  <c r="D39" i="5" s="1"/>
  <c r="E39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9" i="4"/>
  <c r="D9" i="4" s="1"/>
  <c r="E9" i="4" s="1"/>
  <c r="C13" i="4"/>
  <c r="D13" i="4" s="1"/>
  <c r="E13" i="4" s="1"/>
  <c r="C17" i="4"/>
  <c r="D17" i="4" s="1"/>
  <c r="E17" i="4" s="1"/>
  <c r="C21" i="4"/>
  <c r="D21" i="4" s="1"/>
  <c r="E21" i="4" s="1"/>
  <c r="C25" i="4"/>
  <c r="D25" i="4" s="1"/>
  <c r="E25" i="4" s="1"/>
  <c r="C29" i="4"/>
  <c r="D29" i="4" s="1"/>
  <c r="E29" i="4" s="1"/>
  <c r="C33" i="4"/>
  <c r="D33" i="4" s="1"/>
  <c r="E33" i="4" s="1"/>
  <c r="C37" i="4"/>
  <c r="D37" i="4" s="1"/>
  <c r="E37" i="4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9" i="3"/>
  <c r="D9" i="3" s="1"/>
  <c r="E9" i="3" s="1"/>
  <c r="C13" i="3"/>
  <c r="D13" i="3" s="1"/>
  <c r="E13" i="3" s="1"/>
  <c r="C17" i="3"/>
  <c r="D17" i="3" s="1"/>
  <c r="E17" i="3" s="1"/>
  <c r="C21" i="3"/>
  <c r="D21" i="3" s="1"/>
  <c r="E21" i="3" s="1"/>
  <c r="C25" i="3"/>
  <c r="D25" i="3" s="1"/>
  <c r="E25" i="3" s="1"/>
  <c r="C29" i="3"/>
  <c r="D29" i="3" s="1"/>
  <c r="E29" i="3" s="1"/>
  <c r="C33" i="3"/>
  <c r="D33" i="3" s="1"/>
  <c r="E33" i="3" s="1"/>
  <c r="C37" i="3"/>
  <c r="D37" i="3" s="1"/>
  <c r="E37" i="3" s="1"/>
  <c r="C2" i="3"/>
  <c r="D2" i="3" s="1"/>
  <c r="E2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1" i="3"/>
  <c r="D1" i="3" s="1"/>
  <c r="E1" i="3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H5" i="32" l="1"/>
  <c r="H5" i="30"/>
  <c r="H5" i="18"/>
  <c r="H5" i="15"/>
  <c r="H5" i="14"/>
  <c r="H5" i="13"/>
  <c r="H5" i="12"/>
  <c r="H5" i="8"/>
  <c r="H5" i="6"/>
  <c r="H5" i="2"/>
  <c r="H5" i="31"/>
  <c r="H5" i="29"/>
  <c r="H5" i="28"/>
  <c r="H5" i="27"/>
  <c r="H5" i="26"/>
  <c r="H5" i="25"/>
  <c r="H5" i="24"/>
  <c r="H5" i="23"/>
  <c r="H5" i="22"/>
  <c r="H5" i="21"/>
  <c r="H5" i="20"/>
  <c r="H5" i="19"/>
  <c r="H5" i="17"/>
  <c r="H5" i="16"/>
  <c r="H5" i="11"/>
  <c r="H5" i="10"/>
  <c r="H5" i="9"/>
  <c r="H5" i="7"/>
  <c r="H5" i="5"/>
  <c r="H5" i="4"/>
  <c r="H5" i="3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<sst xmlns="http://schemas.openxmlformats.org/spreadsheetml/2006/main" count="93" uniqueCount="3">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</sst>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66C1-4539-4F54-A0BB-80B728997EBA}">
  <dimension ref="A1:B31"/>
  <sheetViews>
    <sheetView tabSelected="1" workbookViewId="0">
      <selection activeCell="F27" sqref="F27"/>
    </sheetView>
  </sheetViews>
  <sheetFormatPr defaultColWidth="11" defaultRowHeight="15.75" x14ac:dyDescent="0.25"/>
  <sheetData>
    <row r="1" spans="1:2" x14ac:dyDescent="0.25">
      <c r="A1">
        <v>1E-4</v>
      </c>
      <c r="B1">
        <f>'0.0001'!$H$1</f>
        <v>0.14934519122409495</v>
      </c>
    </row>
    <row r="2" spans="1:2" x14ac:dyDescent="0.25">
      <c r="A2">
        <v>1E-3</v>
      </c>
      <c r="B2">
        <f>'0.001'!$H$1</f>
        <v>0.15463746267499739</v>
      </c>
    </row>
    <row r="3" spans="1:2" x14ac:dyDescent="0.25">
      <c r="A3">
        <v>5.0000000000000001E-3</v>
      </c>
      <c r="B3">
        <f>'0.005'!$H$1</f>
        <v>0.19112207677733217</v>
      </c>
    </row>
    <row r="4" spans="1:2" x14ac:dyDescent="0.25">
      <c r="A4">
        <v>0.01</v>
      </c>
      <c r="B4">
        <f>'0.01'!$H$1</f>
        <v>0.22063279024930738</v>
      </c>
    </row>
    <row r="5" spans="1:2" x14ac:dyDescent="0.25">
      <c r="A5">
        <v>2.5000000000000001E-2</v>
      </c>
      <c r="B5">
        <f>'0.025'!$H$1</f>
        <v>0.27570574825731892</v>
      </c>
    </row>
    <row r="6" spans="1:2" x14ac:dyDescent="0.25">
      <c r="A6">
        <v>0.05</v>
      </c>
      <c r="B6">
        <f>'0.05'!$H$1</f>
        <v>0.34187253838318227</v>
      </c>
    </row>
    <row r="7" spans="1:2" x14ac:dyDescent="0.25">
      <c r="A7">
        <v>7.4999999999999997E-2</v>
      </c>
      <c r="B7">
        <f>'0.075'!$H$1</f>
        <v>0.39916535649655327</v>
      </c>
    </row>
    <row r="8" spans="1:2" x14ac:dyDescent="0.25">
      <c r="A8">
        <v>0.1</v>
      </c>
      <c r="B8">
        <f>'0.1'!$H$1</f>
        <v>0.44373405644423514</v>
      </c>
    </row>
    <row r="9" spans="1:2" x14ac:dyDescent="0.25">
      <c r="A9">
        <v>0.15</v>
      </c>
      <c r="B9">
        <f>'0.15'!$H$1</f>
        <v>0.54301575995916684</v>
      </c>
    </row>
    <row r="10" spans="1:2" x14ac:dyDescent="0.25">
      <c r="A10">
        <v>0.2</v>
      </c>
      <c r="B10">
        <f>'0.2'!$H$1</f>
        <v>0.62193049966576452</v>
      </c>
    </row>
    <row r="11" spans="1:2" x14ac:dyDescent="0.25">
      <c r="A11">
        <v>0.25</v>
      </c>
      <c r="B11">
        <f>'0.25'!$H$1</f>
        <v>0.70584679396666372</v>
      </c>
    </row>
    <row r="12" spans="1:2" x14ac:dyDescent="0.25">
      <c r="A12">
        <v>0.3</v>
      </c>
      <c r="B12">
        <f>'0.3'!$H$1</f>
        <v>0.79429828855307694</v>
      </c>
    </row>
    <row r="13" spans="1:2" x14ac:dyDescent="0.25">
      <c r="A13">
        <v>0.35</v>
      </c>
      <c r="B13">
        <f>'0.35'!$H$1</f>
        <v>0.89007197597865007</v>
      </c>
    </row>
    <row r="14" spans="1:2" x14ac:dyDescent="0.25">
      <c r="A14">
        <v>0.4</v>
      </c>
      <c r="B14">
        <f>'0.4'!$H$1</f>
        <v>0.98998027385320009</v>
      </c>
    </row>
    <row r="15" spans="1:2" x14ac:dyDescent="0.25">
      <c r="A15">
        <v>0.45</v>
      </c>
      <c r="B15">
        <f>'0.45'!$H$1</f>
        <v>1.1005015008821362</v>
      </c>
    </row>
    <row r="16" spans="1:2" x14ac:dyDescent="0.25">
      <c r="A16">
        <v>0.5</v>
      </c>
      <c r="B16">
        <f>'0.5'!$H$1</f>
        <v>1.2190595909845487</v>
      </c>
    </row>
    <row r="17" spans="1:2" x14ac:dyDescent="0.25">
      <c r="A17">
        <v>0.55000000000000004</v>
      </c>
      <c r="B17">
        <f>'0.55'!$H$1</f>
        <v>1.359021159686475</v>
      </c>
    </row>
    <row r="18" spans="1:2" x14ac:dyDescent="0.25">
      <c r="A18">
        <v>0.6</v>
      </c>
      <c r="B18">
        <f>'0.6'!$H$1</f>
        <v>1.5160744768315555</v>
      </c>
    </row>
    <row r="19" spans="1:2" x14ac:dyDescent="0.25">
      <c r="A19">
        <v>0.65</v>
      </c>
      <c r="B19">
        <f>'0.65'!$H$1</f>
        <v>1.7013226847437317</v>
      </c>
    </row>
    <row r="20" spans="1:2" x14ac:dyDescent="0.25">
      <c r="A20">
        <v>0.7</v>
      </c>
      <c r="B20">
        <f>'0.7'!$H$1</f>
        <v>1.9256071993965109</v>
      </c>
    </row>
    <row r="21" spans="1:2" x14ac:dyDescent="0.25">
      <c r="A21">
        <v>0.75</v>
      </c>
      <c r="B21">
        <f>'0.75'!$H$1</f>
        <v>2.2196013045583167</v>
      </c>
    </row>
    <row r="22" spans="1:2" x14ac:dyDescent="0.25">
      <c r="A22">
        <v>0.8</v>
      </c>
      <c r="B22">
        <f>'0.8'!$H$1</f>
        <v>2.6090623042719545</v>
      </c>
    </row>
    <row r="23" spans="1:2" x14ac:dyDescent="0.25">
      <c r="A23">
        <v>0.85</v>
      </c>
      <c r="B23">
        <f>'0.85'!$H$1</f>
        <v>3.1840455373987426</v>
      </c>
    </row>
    <row r="24" spans="1:2" x14ac:dyDescent="0.25">
      <c r="A24">
        <v>0.9</v>
      </c>
      <c r="B24">
        <f>'0.9'!$H$1</f>
        <v>4.1357685839557412</v>
      </c>
    </row>
    <row r="25" spans="1:2" x14ac:dyDescent="0.25">
      <c r="A25">
        <v>0.92500000000000004</v>
      </c>
      <c r="B25">
        <f>'0.925'!$H$1</f>
        <v>4.9304618047009825</v>
      </c>
    </row>
    <row r="26" spans="1:2" x14ac:dyDescent="0.25">
      <c r="A26">
        <v>0.95</v>
      </c>
      <c r="B26">
        <f>'0.95'!$H$1</f>
        <v>6.2865645700895278</v>
      </c>
    </row>
    <row r="27" spans="1:2" x14ac:dyDescent="0.25">
      <c r="A27">
        <v>0.97499999999999998</v>
      </c>
      <c r="B27">
        <f>'0.975'!$H$1</f>
        <v>9.3714251051093225</v>
      </c>
    </row>
    <row r="28" spans="1:2" x14ac:dyDescent="0.25">
      <c r="A28">
        <v>0.99</v>
      </c>
      <c r="B28">
        <f>'0.99'!$H$1</f>
        <v>15.348848332538353</v>
      </c>
    </row>
    <row r="29" spans="1:2" x14ac:dyDescent="0.25">
      <c r="A29">
        <v>0.995</v>
      </c>
      <c r="B29">
        <f>'0.995'!$H$1</f>
        <v>22.038263223282687</v>
      </c>
    </row>
    <row r="30" spans="1:2" x14ac:dyDescent="0.25">
      <c r="A30">
        <v>0.999</v>
      </c>
      <c r="B30">
        <f>'0.999'!$H$1</f>
        <v>72.985282325174495</v>
      </c>
    </row>
    <row r="31" spans="1:2" x14ac:dyDescent="0.25">
      <c r="A31">
        <v>0.99990000000000001</v>
      </c>
      <c r="B31">
        <f>'0.9999'!$H$1</f>
        <v>127.95495655632539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3825-0F45-4F27-AA43-8CC0FEF5269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4.7326309350000005E-2</v>
      </c>
      <c r="B1">
        <v>0.71099316286928105</v>
      </c>
      <c r="C1">
        <f>$H$3*(1+$H$1)*(A1^($H$1))*EXP(-$H$3*(A1^(1+$H$1)))</f>
        <v>0.66933331593725587</v>
      </c>
      <c r="D1">
        <f>B1-C1</f>
        <v>4.165984693202518E-2</v>
      </c>
      <c r="E1">
        <f>D1^2</f>
        <v>1.7355428463997678E-3</v>
      </c>
      <c r="G1" t="s">
        <v>0</v>
      </c>
      <c r="H1">
        <v>0.14934519122409495</v>
      </c>
    </row>
    <row r="2" spans="1:8" x14ac:dyDescent="0.25">
      <c r="A2">
        <v>0.14083825005</v>
      </c>
      <c r="B2">
        <v>0.70090338288532716</v>
      </c>
      <c r="C2">
        <f t="shared" ref="C2:C40" si="0">$H$3*(1+$H$1)*(A2^($H$1))*EXP(-$H$3*(A2^(1+$H$1)))</f>
        <v>0.73377417278013712</v>
      </c>
      <c r="D2">
        <f t="shared" ref="D2:D40" si="1">B2-C2</f>
        <v>-3.287078989480996E-2</v>
      </c>
      <c r="E2">
        <f t="shared" ref="E2:E40" si="2">D2^2</f>
        <v>1.0804888283087405E-3</v>
      </c>
    </row>
    <row r="3" spans="1:8" x14ac:dyDescent="0.25">
      <c r="A3">
        <v>0.23435019074999999</v>
      </c>
      <c r="B3">
        <v>0.67466995492704718</v>
      </c>
      <c r="C3">
        <f t="shared" si="0"/>
        <v>0.73161857858938106</v>
      </c>
      <c r="D3">
        <f t="shared" si="1"/>
        <v>-5.6948623662333886E-2</v>
      </c>
      <c r="E3">
        <f t="shared" si="2"/>
        <v>3.2431457370341349E-3</v>
      </c>
      <c r="G3" t="s">
        <v>1</v>
      </c>
      <c r="H3">
        <f>(_xlfn.GAMMA((2+$H$1)/(1+$H$1)))^(1+$H$1)</f>
        <v>0.94487166855143589</v>
      </c>
    </row>
    <row r="4" spans="1:8" x14ac:dyDescent="0.25">
      <c r="A4">
        <v>0.32786213144999998</v>
      </c>
      <c r="B4">
        <v>0.66390752294416311</v>
      </c>
      <c r="C4">
        <f t="shared" si="0"/>
        <v>0.70728640621109828</v>
      </c>
      <c r="D4">
        <f t="shared" si="1"/>
        <v>-4.3378883266935175E-2</v>
      </c>
      <c r="E4">
        <f t="shared" si="2"/>
        <v>1.8817275134863885E-3</v>
      </c>
    </row>
    <row r="5" spans="1:8" x14ac:dyDescent="0.25">
      <c r="A5">
        <v>0.42137407215</v>
      </c>
      <c r="B5">
        <v>0.59798762704899799</v>
      </c>
      <c r="C5">
        <f t="shared" si="0"/>
        <v>0.67265859233151792</v>
      </c>
      <c r="D5">
        <f t="shared" si="1"/>
        <v>-7.467096528251993E-2</v>
      </c>
      <c r="E5">
        <f t="shared" si="2"/>
        <v>5.575753056223297E-3</v>
      </c>
      <c r="G5" t="s">
        <v>2</v>
      </c>
      <c r="H5">
        <f>SUM(E1:E40)</f>
        <v>5.2317152074571299E-2</v>
      </c>
    </row>
    <row r="6" spans="1:8" x14ac:dyDescent="0.25">
      <c r="A6">
        <v>0.51488601284999991</v>
      </c>
      <c r="B6">
        <v>0.52870447115918151</v>
      </c>
      <c r="C6">
        <f t="shared" si="0"/>
        <v>0.63303142137139257</v>
      </c>
      <c r="D6">
        <f t="shared" si="1"/>
        <v>-0.10432695021221106</v>
      </c>
      <c r="E6">
        <f t="shared" si="2"/>
        <v>1.0884112540581165E-2</v>
      </c>
    </row>
    <row r="7" spans="1:8" x14ac:dyDescent="0.25">
      <c r="A7">
        <v>0.60839795354999993</v>
      </c>
      <c r="B7">
        <v>0.52534121116453025</v>
      </c>
      <c r="C7">
        <f t="shared" si="0"/>
        <v>0.59127877829745756</v>
      </c>
      <c r="D7">
        <f t="shared" si="1"/>
        <v>-6.5937567132927311E-2</v>
      </c>
      <c r="E7">
        <f t="shared" si="2"/>
        <v>4.3477627594092957E-3</v>
      </c>
    </row>
    <row r="8" spans="1:8" x14ac:dyDescent="0.25">
      <c r="A8">
        <v>0.70190989425000005</v>
      </c>
      <c r="B8">
        <v>0.54081220713992617</v>
      </c>
      <c r="C8">
        <f t="shared" si="0"/>
        <v>0.54911808910098203</v>
      </c>
      <c r="D8">
        <f t="shared" si="1"/>
        <v>-8.305881961055861E-3</v>
      </c>
      <c r="E8">
        <f t="shared" si="2"/>
        <v>6.8987675150993159E-5</v>
      </c>
    </row>
    <row r="9" spans="1:8" x14ac:dyDescent="0.25">
      <c r="A9">
        <v>0.79542183495000007</v>
      </c>
      <c r="B9">
        <v>0.49910778320625027</v>
      </c>
      <c r="C9">
        <f t="shared" si="0"/>
        <v>0.50762546670263586</v>
      </c>
      <c r="D9">
        <f t="shared" si="1"/>
        <v>-8.5176834963855974E-3</v>
      </c>
      <c r="E9">
        <f t="shared" si="2"/>
        <v>7.2550932144599574E-5</v>
      </c>
    </row>
    <row r="10" spans="1:8" x14ac:dyDescent="0.25">
      <c r="A10">
        <v>0.88893377564999998</v>
      </c>
      <c r="B10">
        <v>0.43655114730573641</v>
      </c>
      <c r="C10">
        <f t="shared" si="0"/>
        <v>0.46748608187526552</v>
      </c>
      <c r="D10">
        <f t="shared" si="1"/>
        <v>-3.0934934569529116E-2</v>
      </c>
      <c r="E10">
        <f t="shared" si="2"/>
        <v>9.5697017682104752E-4</v>
      </c>
    </row>
    <row r="11" spans="1:8" x14ac:dyDescent="0.25">
      <c r="A11">
        <v>0.98244571635</v>
      </c>
      <c r="B11">
        <v>0.41368097934210774</v>
      </c>
      <c r="C11">
        <f t="shared" si="0"/>
        <v>0.42913152230963592</v>
      </c>
      <c r="D11">
        <f t="shared" si="1"/>
        <v>-1.545054296752818E-2</v>
      </c>
      <c r="E11">
        <f t="shared" si="2"/>
        <v>2.3871927799143451E-4</v>
      </c>
    </row>
    <row r="12" spans="1:8" x14ac:dyDescent="0.25">
      <c r="A12">
        <v>1.07595765705</v>
      </c>
      <c r="B12">
        <v>0.40628180735387487</v>
      </c>
      <c r="C12">
        <f t="shared" si="0"/>
        <v>0.3928220240497024</v>
      </c>
      <c r="D12">
        <f t="shared" si="1"/>
        <v>1.3459783304172468E-2</v>
      </c>
      <c r="E12">
        <f t="shared" si="2"/>
        <v>1.8116576659527991E-4</v>
      </c>
    </row>
    <row r="13" spans="1:8" x14ac:dyDescent="0.25">
      <c r="A13">
        <v>1.16946959775</v>
      </c>
      <c r="B13">
        <v>0.39350141937420002</v>
      </c>
      <c r="C13">
        <f t="shared" si="0"/>
        <v>0.35869898601664507</v>
      </c>
      <c r="D13">
        <f t="shared" si="1"/>
        <v>3.4802433357554952E-2</v>
      </c>
      <c r="E13">
        <f t="shared" si="2"/>
        <v>1.2112093676070537E-3</v>
      </c>
    </row>
    <row r="14" spans="1:8" x14ac:dyDescent="0.25">
      <c r="A14">
        <v>1.2629815384500001</v>
      </c>
      <c r="B14">
        <v>0.33767130346298874</v>
      </c>
      <c r="C14">
        <f t="shared" si="0"/>
        <v>0.32682016950703108</v>
      </c>
      <c r="D14">
        <f t="shared" si="1"/>
        <v>1.0851133955957659E-2</v>
      </c>
      <c r="E14">
        <f t="shared" si="2"/>
        <v>1.1774710813013731E-4</v>
      </c>
    </row>
    <row r="15" spans="1:8" x14ac:dyDescent="0.25">
      <c r="A15">
        <v>1.3564934791500001</v>
      </c>
      <c r="B15">
        <v>0.31681909149615078</v>
      </c>
      <c r="C15">
        <f t="shared" si="0"/>
        <v>0.29718416340038339</v>
      </c>
      <c r="D15">
        <f t="shared" si="1"/>
        <v>1.963492809576739E-2</v>
      </c>
      <c r="E15">
        <f t="shared" si="2"/>
        <v>3.8553040132595563E-4</v>
      </c>
    </row>
    <row r="16" spans="1:8" x14ac:dyDescent="0.25">
      <c r="A16">
        <v>1.4500054198500001</v>
      </c>
      <c r="B16">
        <v>0.3195096994918718</v>
      </c>
      <c r="C16">
        <f t="shared" si="0"/>
        <v>0.26974785327709355</v>
      </c>
      <c r="D16">
        <f t="shared" si="1"/>
        <v>4.9761846214778249E-2</v>
      </c>
      <c r="E16">
        <f t="shared" si="2"/>
        <v>2.4762413387032405E-3</v>
      </c>
    </row>
    <row r="17" spans="1:5" x14ac:dyDescent="0.25">
      <c r="A17">
        <v>1.5435173605500001</v>
      </c>
      <c r="B17">
        <v>0.2946215755314523</v>
      </c>
      <c r="C17">
        <f t="shared" si="0"/>
        <v>0.24443914206788006</v>
      </c>
      <c r="D17">
        <f t="shared" si="1"/>
        <v>5.0182433463572235E-2</v>
      </c>
      <c r="E17">
        <f t="shared" si="2"/>
        <v>2.5182766283258543E-3</v>
      </c>
    </row>
    <row r="18" spans="1:5" x14ac:dyDescent="0.25">
      <c r="A18">
        <v>1.6370293012500001</v>
      </c>
      <c r="B18">
        <v>0.26300693158173027</v>
      </c>
      <c r="C18">
        <f t="shared" si="0"/>
        <v>0.22116634013782241</v>
      </c>
      <c r="D18">
        <f t="shared" si="1"/>
        <v>4.1840591443907865E-2</v>
      </c>
      <c r="E18">
        <f t="shared" si="2"/>
        <v>1.7506350923760161E-3</v>
      </c>
    </row>
    <row r="19" spans="1:5" x14ac:dyDescent="0.25">
      <c r="A19">
        <v>1.7305412419500001</v>
      </c>
      <c r="B19">
        <v>0.23071963563307796</v>
      </c>
      <c r="C19">
        <f t="shared" si="0"/>
        <v>0.19982515667312842</v>
      </c>
      <c r="D19">
        <f t="shared" si="1"/>
        <v>3.089447895994954E-2</v>
      </c>
      <c r="E19">
        <f t="shared" si="2"/>
        <v>9.5446883020676475E-4</v>
      </c>
    </row>
    <row r="20" spans="1:5" x14ac:dyDescent="0.25">
      <c r="A20">
        <v>1.8240531826499999</v>
      </c>
      <c r="B20">
        <v>0.2145759876587518</v>
      </c>
      <c r="C20">
        <f t="shared" si="0"/>
        <v>0.18030392663057568</v>
      </c>
      <c r="D20">
        <f t="shared" si="1"/>
        <v>3.4272061028176121E-2</v>
      </c>
      <c r="E20">
        <f t="shared" si="2"/>
        <v>1.1745741671190285E-3</v>
      </c>
    </row>
    <row r="21" spans="1:5" x14ac:dyDescent="0.25">
      <c r="A21">
        <v>1.9175651233500002</v>
      </c>
      <c r="B21">
        <v>0.20583151167265848</v>
      </c>
      <c r="C21">
        <f t="shared" si="0"/>
        <v>0.16248751805030021</v>
      </c>
      <c r="D21">
        <f t="shared" si="1"/>
        <v>4.3343993622358273E-2</v>
      </c>
      <c r="E21">
        <f t="shared" si="2"/>
        <v>1.8787017831350347E-3</v>
      </c>
    </row>
    <row r="22" spans="1:5" x14ac:dyDescent="0.25">
      <c r="A22">
        <v>2.0110770640500002</v>
      </c>
      <c r="B22">
        <v>0.18161603971116924</v>
      </c>
      <c r="C22">
        <f t="shared" si="0"/>
        <v>0.14626023970057989</v>
      </c>
      <c r="D22">
        <f t="shared" si="1"/>
        <v>3.5355800010589356E-2</v>
      </c>
      <c r="E22">
        <f t="shared" si="2"/>
        <v>1.2500325943887902E-3</v>
      </c>
    </row>
    <row r="23" spans="1:5" x14ac:dyDescent="0.25">
      <c r="A23">
        <v>2.1045890047500002</v>
      </c>
      <c r="B23">
        <v>0.18228869171009948</v>
      </c>
      <c r="C23">
        <f t="shared" si="0"/>
        <v>0.13150798422382584</v>
      </c>
      <c r="D23">
        <f t="shared" si="1"/>
        <v>5.0780707486273641E-2</v>
      </c>
      <c r="E23">
        <f t="shared" si="2"/>
        <v>2.5786802528064878E-3</v>
      </c>
    </row>
    <row r="24" spans="1:5" x14ac:dyDescent="0.25">
      <c r="A24">
        <v>2.1981009454499998</v>
      </c>
      <c r="B24">
        <v>0.15067404776037743</v>
      </c>
      <c r="C24">
        <f t="shared" si="0"/>
        <v>0.11811978276611801</v>
      </c>
      <c r="D24">
        <f t="shared" si="1"/>
        <v>3.2554264994259424E-2</v>
      </c>
      <c r="E24">
        <f t="shared" si="2"/>
        <v>1.0597801693164645E-3</v>
      </c>
    </row>
    <row r="25" spans="1:5" x14ac:dyDescent="0.25">
      <c r="A25">
        <v>2.2916128861500003</v>
      </c>
      <c r="B25">
        <v>0.14865609176358668</v>
      </c>
      <c r="C25">
        <f t="shared" si="0"/>
        <v>0.10598890475970625</v>
      </c>
      <c r="D25">
        <f t="shared" si="1"/>
        <v>4.2667187003880433E-2</v>
      </c>
      <c r="E25">
        <f t="shared" si="2"/>
        <v>1.8204888468241033E-3</v>
      </c>
    </row>
    <row r="26" spans="1:5" x14ac:dyDescent="0.25">
      <c r="A26">
        <v>2.3851248268500003</v>
      </c>
      <c r="B26">
        <v>0.12242266380530667</v>
      </c>
      <c r="C26">
        <f t="shared" si="0"/>
        <v>9.5013605632421255E-2</v>
      </c>
      <c r="D26">
        <f t="shared" si="1"/>
        <v>2.7409058172885414E-2</v>
      </c>
      <c r="E26">
        <f t="shared" si="2"/>
        <v>7.5125646992461675E-4</v>
      </c>
    </row>
    <row r="27" spans="1:5" x14ac:dyDescent="0.25">
      <c r="A27">
        <v>2.4786367675500003</v>
      </c>
      <c r="B27">
        <v>0.10089779983953846</v>
      </c>
      <c r="C27">
        <f t="shared" si="0"/>
        <v>8.5097602238150993E-2</v>
      </c>
      <c r="D27">
        <f t="shared" si="1"/>
        <v>1.580019760138747E-2</v>
      </c>
      <c r="E27">
        <f t="shared" si="2"/>
        <v>2.4964624424289036E-4</v>
      </c>
    </row>
    <row r="28" spans="1:5" x14ac:dyDescent="0.25">
      <c r="A28">
        <v>2.5721487082500003</v>
      </c>
      <c r="B28">
        <v>9.5516583848096415E-2</v>
      </c>
      <c r="C28">
        <f t="shared" si="0"/>
        <v>7.6150338433879222E-2</v>
      </c>
      <c r="D28">
        <f t="shared" si="1"/>
        <v>1.9366245414217192E-2</v>
      </c>
      <c r="E28">
        <f t="shared" si="2"/>
        <v>3.7505146144368843E-4</v>
      </c>
    </row>
    <row r="29" spans="1:5" x14ac:dyDescent="0.25">
      <c r="A29">
        <v>2.6656606489499999</v>
      </c>
      <c r="B29">
        <v>8.3408847867351796E-2</v>
      </c>
      <c r="C29">
        <f t="shared" si="0"/>
        <v>6.8087089918707697E-2</v>
      </c>
      <c r="D29">
        <f t="shared" si="1"/>
        <v>1.5321757948644099E-2</v>
      </c>
      <c r="E29">
        <f t="shared" si="2"/>
        <v>2.3475626663683864E-4</v>
      </c>
    </row>
    <row r="30" spans="1:5" x14ac:dyDescent="0.25">
      <c r="A30">
        <v>2.7591725896499999</v>
      </c>
      <c r="B30">
        <v>7.2646415884467699E-2</v>
      </c>
      <c r="C30">
        <f t="shared" si="0"/>
        <v>6.0828947129973207E-2</v>
      </c>
      <c r="D30">
        <f t="shared" si="1"/>
        <v>1.1817468754494492E-2</v>
      </c>
      <c r="E30">
        <f t="shared" si="2"/>
        <v>1.3965256776345361E-4</v>
      </c>
    </row>
    <row r="31" spans="1:5" x14ac:dyDescent="0.25">
      <c r="A31">
        <v>2.8526845303500004</v>
      </c>
      <c r="B31">
        <v>5.9193375905862565E-2</v>
      </c>
      <c r="C31">
        <f t="shared" si="0"/>
        <v>5.4302706910165907E-2</v>
      </c>
      <c r="D31">
        <f t="shared" si="1"/>
        <v>4.8906689956966579E-3</v>
      </c>
      <c r="E31">
        <f t="shared" si="2"/>
        <v>2.3918643225468555E-5</v>
      </c>
    </row>
    <row r="32" spans="1:5" x14ac:dyDescent="0.25">
      <c r="A32">
        <v>2.9461964710500004</v>
      </c>
      <c r="B32">
        <v>5.9193375905862565E-2</v>
      </c>
      <c r="C32">
        <f t="shared" si="0"/>
        <v>4.8440697278377819E-2</v>
      </c>
      <c r="D32">
        <f t="shared" si="1"/>
        <v>1.0752678627484746E-2</v>
      </c>
      <c r="E32">
        <f t="shared" si="2"/>
        <v>1.1562009766596725E-4</v>
      </c>
    </row>
    <row r="33" spans="1:5" x14ac:dyDescent="0.25">
      <c r="A33">
        <v>3.03970841175</v>
      </c>
      <c r="B33">
        <v>3.7668511940094358E-2</v>
      </c>
      <c r="C33">
        <f t="shared" si="0"/>
        <v>4.3180554569922001E-2</v>
      </c>
      <c r="D33">
        <f t="shared" si="1"/>
        <v>-5.5120426298276431E-3</v>
      </c>
      <c r="E33">
        <f t="shared" si="2"/>
        <v>3.0382613953037242E-5</v>
      </c>
    </row>
    <row r="34" spans="1:5" x14ac:dyDescent="0.25">
      <c r="A34">
        <v>3.13322035245</v>
      </c>
      <c r="B34">
        <v>3.4977903944373334E-2</v>
      </c>
      <c r="C34">
        <f t="shared" si="0"/>
        <v>3.8464968157701444E-2</v>
      </c>
      <c r="D34">
        <f t="shared" si="1"/>
        <v>-3.4870642133281102E-3</v>
      </c>
      <c r="E34">
        <f t="shared" si="2"/>
        <v>1.2159616827873592E-5</v>
      </c>
    </row>
    <row r="35" spans="1:5" x14ac:dyDescent="0.25">
      <c r="A35">
        <v>3.22673229315</v>
      </c>
      <c r="B35">
        <v>2.6906079957210258E-2</v>
      </c>
      <c r="C35">
        <f t="shared" si="0"/>
        <v>3.4241404721059812E-2</v>
      </c>
      <c r="D35">
        <f t="shared" si="1"/>
        <v>-7.3353247638495538E-3</v>
      </c>
      <c r="E35">
        <f t="shared" si="2"/>
        <v>5.3806989391144512E-5</v>
      </c>
    </row>
    <row r="36" spans="1:5" x14ac:dyDescent="0.25">
      <c r="A36">
        <v>3.3202442338500004</v>
      </c>
      <c r="B36">
        <v>2.4215471961489231E-2</v>
      </c>
      <c r="C36">
        <f t="shared" si="0"/>
        <v>3.0461821416296785E-2</v>
      </c>
      <c r="D36">
        <f t="shared" si="1"/>
        <v>-6.2463494548075545E-3</v>
      </c>
      <c r="E36">
        <f t="shared" si="2"/>
        <v>3.9016881511574633E-5</v>
      </c>
    </row>
    <row r="37" spans="1:5" x14ac:dyDescent="0.25">
      <c r="A37">
        <v>3.4137561745500005</v>
      </c>
      <c r="B37">
        <v>1.9506907968977437E-2</v>
      </c>
      <c r="C37">
        <f t="shared" si="0"/>
        <v>2.7082375199829246E-2</v>
      </c>
      <c r="D37">
        <f t="shared" si="1"/>
        <v>-7.5754672308518088E-3</v>
      </c>
      <c r="E37">
        <f t="shared" si="2"/>
        <v>5.7387703765709572E-5</v>
      </c>
    </row>
    <row r="38" spans="1:5" x14ac:dyDescent="0.25">
      <c r="A38">
        <v>3.50726811525</v>
      </c>
      <c r="B38">
        <v>1.6816299973256409E-2</v>
      </c>
      <c r="C38">
        <f t="shared" si="0"/>
        <v>2.4063133860342919E-2</v>
      </c>
      <c r="D38">
        <f t="shared" si="1"/>
        <v>-7.2468338870865096E-3</v>
      </c>
      <c r="E38">
        <f t="shared" si="2"/>
        <v>5.2516601387025367E-5</v>
      </c>
    </row>
    <row r="39" spans="1:5" x14ac:dyDescent="0.25">
      <c r="A39">
        <v>3.6007800559499996</v>
      </c>
      <c r="B39">
        <v>6.7265199893025646E-4</v>
      </c>
      <c r="C39">
        <f t="shared" si="0"/>
        <v>2.1367792951622295E-2</v>
      </c>
      <c r="D39">
        <f t="shared" si="1"/>
        <v>-2.0695140952692037E-2</v>
      </c>
      <c r="E39">
        <f t="shared" si="2"/>
        <v>4.282888590517911E-4</v>
      </c>
    </row>
    <row r="40" spans="1:5" x14ac:dyDescent="0.25">
      <c r="A40">
        <v>3.6942919966499996</v>
      </c>
      <c r="B40">
        <v>1.3453039978605129E-3</v>
      </c>
      <c r="C40">
        <f t="shared" si="0"/>
        <v>1.8963401720631979E-2</v>
      </c>
      <c r="D40">
        <f t="shared" si="1"/>
        <v>-1.7618097722771467E-2</v>
      </c>
      <c r="E40">
        <f t="shared" si="2"/>
        <v>3.1039736736912515E-4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1081-08E6-4121-ACDA-CFB2F4C4887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4.6617079625000002E-2</v>
      </c>
      <c r="B1">
        <v>0.68672087813182592</v>
      </c>
      <c r="C1">
        <f>$H$3*(1+$H$1)*(A1^($H$1))*EXP(-$H$3*(A1^(1+$H$1)))</f>
        <v>0.65956651030969737</v>
      </c>
      <c r="D1">
        <f>B1-C1</f>
        <v>2.7154367822128544E-2</v>
      </c>
      <c r="E1">
        <f>D1^2</f>
        <v>7.3735969181945007E-4</v>
      </c>
      <c r="G1" t="s">
        <v>0</v>
      </c>
      <c r="H1">
        <v>0.15463746267499739</v>
      </c>
    </row>
    <row r="2" spans="1:8" x14ac:dyDescent="0.25">
      <c r="A2">
        <v>0.13979163887500001</v>
      </c>
      <c r="B2">
        <v>0.7137040167617601</v>
      </c>
      <c r="C2">
        <f t="shared" ref="C2:C40" si="0">$H$3*(1+$H$1)*(A2^($H$1))*EXP(-$H$3*(A2^(1+$H$1)))</f>
        <v>0.72888213778446787</v>
      </c>
      <c r="D2">
        <f t="shared" ref="D2:D40" si="1">B2-C2</f>
        <v>-1.5178121022707769E-2</v>
      </c>
      <c r="E2">
        <f t="shared" ref="E2:E40" si="2">D2^2</f>
        <v>2.3037535777996354E-4</v>
      </c>
    </row>
    <row r="3" spans="1:8" x14ac:dyDescent="0.25">
      <c r="A3">
        <v>0.23296619812500002</v>
      </c>
      <c r="B3">
        <v>0.68132425040583899</v>
      </c>
      <c r="C3">
        <f t="shared" si="0"/>
        <v>0.72948969039367684</v>
      </c>
      <c r="D3">
        <f t="shared" si="1"/>
        <v>-4.8165439987837844E-2</v>
      </c>
      <c r="E3">
        <f t="shared" si="2"/>
        <v>2.319909609222009E-3</v>
      </c>
      <c r="G3" t="s">
        <v>1</v>
      </c>
      <c r="H3">
        <f>(_xlfn.GAMMA((2+$H$1)/(1+$H$1)))^(1+$H$1)</f>
        <v>0.94317342764182199</v>
      </c>
    </row>
    <row r="4" spans="1:8" x14ac:dyDescent="0.25">
      <c r="A4">
        <v>0.32614075737500003</v>
      </c>
      <c r="B4">
        <v>0.6678326810908719</v>
      </c>
      <c r="C4">
        <f t="shared" si="0"/>
        <v>0.70705176446179208</v>
      </c>
      <c r="D4">
        <f t="shared" si="1"/>
        <v>-3.9219083370920171E-2</v>
      </c>
      <c r="E4">
        <f t="shared" si="2"/>
        <v>1.5381365004551871E-3</v>
      </c>
    </row>
    <row r="5" spans="1:8" x14ac:dyDescent="0.25">
      <c r="A5">
        <v>0.41931531662499999</v>
      </c>
      <c r="B5">
        <v>0.5956527852557979</v>
      </c>
      <c r="C5">
        <f t="shared" si="0"/>
        <v>0.67376784405066603</v>
      </c>
      <c r="D5">
        <f t="shared" si="1"/>
        <v>-7.8115058794868131E-2</v>
      </c>
      <c r="E5">
        <f t="shared" si="2"/>
        <v>6.1019624105257053E-3</v>
      </c>
      <c r="G5" t="s">
        <v>2</v>
      </c>
      <c r="H5">
        <f>SUM(E1:E40)</f>
        <v>4.8230457883603958E-2</v>
      </c>
    </row>
    <row r="6" spans="1:8" x14ac:dyDescent="0.25">
      <c r="A6">
        <v>0.51248987587500006</v>
      </c>
      <c r="B6">
        <v>0.53628988026994262</v>
      </c>
      <c r="C6">
        <f t="shared" si="0"/>
        <v>0.63509143318050787</v>
      </c>
      <c r="D6">
        <f t="shared" si="1"/>
        <v>-9.8801552910565249E-2</v>
      </c>
      <c r="E6">
        <f t="shared" si="2"/>
        <v>9.7617468575392236E-3</v>
      </c>
    </row>
    <row r="7" spans="1:8" x14ac:dyDescent="0.25">
      <c r="A7">
        <v>0.60566443512500001</v>
      </c>
      <c r="B7">
        <v>0.52684578174946561</v>
      </c>
      <c r="C7">
        <f t="shared" si="0"/>
        <v>0.593994947243906</v>
      </c>
      <c r="D7">
        <f t="shared" si="1"/>
        <v>-6.7149165494440388E-2</v>
      </c>
      <c r="E7">
        <f t="shared" si="2"/>
        <v>4.5090104265997433E-3</v>
      </c>
    </row>
    <row r="8" spans="1:8" x14ac:dyDescent="0.25">
      <c r="A8">
        <v>0.69883899437499997</v>
      </c>
      <c r="B8">
        <v>0.53831361566718772</v>
      </c>
      <c r="C8">
        <f t="shared" si="0"/>
        <v>0.55226513114355025</v>
      </c>
      <c r="D8">
        <f t="shared" si="1"/>
        <v>-1.395151547636253E-2</v>
      </c>
      <c r="E8">
        <f t="shared" si="2"/>
        <v>1.946447840871832E-4</v>
      </c>
    </row>
    <row r="9" spans="1:8" x14ac:dyDescent="0.25">
      <c r="A9">
        <v>0.79201355362500003</v>
      </c>
      <c r="B9">
        <v>0.50593384931126661</v>
      </c>
      <c r="C9">
        <f t="shared" si="0"/>
        <v>0.51102994868510832</v>
      </c>
      <c r="D9">
        <f t="shared" si="1"/>
        <v>-5.0960993738417004E-3</v>
      </c>
      <c r="E9">
        <f t="shared" si="2"/>
        <v>2.5970228828069771E-5</v>
      </c>
    </row>
    <row r="10" spans="1:8" x14ac:dyDescent="0.25">
      <c r="A10">
        <v>0.88518811287499999</v>
      </c>
      <c r="B10">
        <v>0.43510311040768929</v>
      </c>
      <c r="C10">
        <f t="shared" si="0"/>
        <v>0.47101469082774461</v>
      </c>
      <c r="D10">
        <f t="shared" si="1"/>
        <v>-3.5911580420055322E-2</v>
      </c>
      <c r="E10">
        <f t="shared" si="2"/>
        <v>1.2896416082661009E-3</v>
      </c>
    </row>
    <row r="11" spans="1:8" x14ac:dyDescent="0.25">
      <c r="A11">
        <v>0.97836267212500005</v>
      </c>
      <c r="B11">
        <v>0.4195878056954771</v>
      </c>
      <c r="C11">
        <f t="shared" si="0"/>
        <v>0.4326825763665112</v>
      </c>
      <c r="D11">
        <f t="shared" si="1"/>
        <v>-1.3094770671034095E-2</v>
      </c>
      <c r="E11">
        <f t="shared" si="2"/>
        <v>1.7147301892697471E-4</v>
      </c>
    </row>
    <row r="12" spans="1:8" x14ac:dyDescent="0.25">
      <c r="A12">
        <v>1.071537231375</v>
      </c>
      <c r="B12">
        <v>0.40946912870925178</v>
      </c>
      <c r="C12">
        <f t="shared" si="0"/>
        <v>0.39631902553075971</v>
      </c>
      <c r="D12">
        <f t="shared" si="1"/>
        <v>1.3150103178492079E-2</v>
      </c>
      <c r="E12">
        <f t="shared" si="2"/>
        <v>1.7292521360498747E-4</v>
      </c>
    </row>
    <row r="13" spans="1:8" x14ac:dyDescent="0.25">
      <c r="A13">
        <v>1.1647117906250002</v>
      </c>
      <c r="B13">
        <v>0.39058093166829783</v>
      </c>
      <c r="C13">
        <f t="shared" si="0"/>
        <v>0.36208557097168959</v>
      </c>
      <c r="D13">
        <f t="shared" si="1"/>
        <v>2.8495360696608241E-2</v>
      </c>
      <c r="E13">
        <f t="shared" si="2"/>
        <v>8.119855812298057E-4</v>
      </c>
    </row>
    <row r="14" spans="1:8" x14ac:dyDescent="0.25">
      <c r="A14">
        <v>1.2578863498750001</v>
      </c>
      <c r="B14">
        <v>0.33998754673717119</v>
      </c>
      <c r="C14">
        <f t="shared" si="0"/>
        <v>0.3300560721458427</v>
      </c>
      <c r="D14">
        <f t="shared" si="1"/>
        <v>9.9314745913284819E-3</v>
      </c>
      <c r="E14">
        <f t="shared" si="2"/>
        <v>9.863418755820324E-5</v>
      </c>
    </row>
    <row r="15" spans="1:8" x14ac:dyDescent="0.25">
      <c r="A15">
        <v>1.3510609091250001</v>
      </c>
      <c r="B15">
        <v>0.31098067270999186</v>
      </c>
      <c r="C15">
        <f t="shared" si="0"/>
        <v>0.30024195152691513</v>
      </c>
      <c r="D15">
        <f t="shared" si="1"/>
        <v>1.0738721183076727E-2</v>
      </c>
      <c r="E15">
        <f t="shared" si="2"/>
        <v>1.1532013264786082E-4</v>
      </c>
    </row>
    <row r="16" spans="1:8" x14ac:dyDescent="0.25">
      <c r="A16">
        <v>1.4442354683750001</v>
      </c>
      <c r="B16">
        <v>0.32514682049070737</v>
      </c>
      <c r="C16">
        <f t="shared" si="0"/>
        <v>0.27261026827674018</v>
      </c>
      <c r="D16">
        <f t="shared" si="1"/>
        <v>5.2536552213967191E-2</v>
      </c>
      <c r="E16">
        <f t="shared" si="2"/>
        <v>2.7600893185309012E-3</v>
      </c>
    </row>
    <row r="17" spans="1:5" x14ac:dyDescent="0.25">
      <c r="A17">
        <v>1.537410027625</v>
      </c>
      <c r="B17">
        <v>0.29479078953203136</v>
      </c>
      <c r="C17">
        <f t="shared" si="0"/>
        <v>0.24709692354783203</v>
      </c>
      <c r="D17">
        <f t="shared" si="1"/>
        <v>4.7693865984199335E-2</v>
      </c>
      <c r="E17">
        <f t="shared" si="2"/>
        <v>2.2747048525187663E-3</v>
      </c>
    </row>
    <row r="18" spans="1:5" x14ac:dyDescent="0.25">
      <c r="A18">
        <v>1.630584586875</v>
      </c>
      <c r="B18">
        <v>0.26106186624461358</v>
      </c>
      <c r="C18">
        <f t="shared" si="0"/>
        <v>0.2236164450466557</v>
      </c>
      <c r="D18">
        <f t="shared" si="1"/>
        <v>3.7445421197957879E-2</v>
      </c>
      <c r="E18">
        <f t="shared" si="2"/>
        <v>1.4021595686924734E-3</v>
      </c>
    </row>
    <row r="19" spans="1:5" x14ac:dyDescent="0.25">
      <c r="A19">
        <v>1.7237591461249999</v>
      </c>
      <c r="B19">
        <v>0.23138041375168594</v>
      </c>
      <c r="C19">
        <f t="shared" si="0"/>
        <v>0.20206930277046067</v>
      </c>
      <c r="D19">
        <f t="shared" si="1"/>
        <v>2.9311110981225269E-2</v>
      </c>
      <c r="E19">
        <f t="shared" si="2"/>
        <v>8.5914122695370453E-4</v>
      </c>
    </row>
    <row r="20" spans="1:5" x14ac:dyDescent="0.25">
      <c r="A20">
        <v>1.8169337053749999</v>
      </c>
      <c r="B20">
        <v>0.21788884443671883</v>
      </c>
      <c r="C20">
        <f t="shared" si="0"/>
        <v>0.18234740436553862</v>
      </c>
      <c r="D20">
        <f t="shared" si="1"/>
        <v>3.5541440071180208E-2</v>
      </c>
      <c r="E20">
        <f t="shared" si="2"/>
        <v>1.2631939623332941E-3</v>
      </c>
    </row>
    <row r="21" spans="1:5" x14ac:dyDescent="0.25">
      <c r="A21">
        <v>1.9101082646250001</v>
      </c>
      <c r="B21">
        <v>0.21586510903947376</v>
      </c>
      <c r="C21">
        <f t="shared" si="0"/>
        <v>0.1643382253817115</v>
      </c>
      <c r="D21">
        <f t="shared" si="1"/>
        <v>5.1526883657762257E-2</v>
      </c>
      <c r="E21">
        <f t="shared" si="2"/>
        <v>2.6550197394805673E-3</v>
      </c>
    </row>
    <row r="22" spans="1:5" x14ac:dyDescent="0.25">
      <c r="A22">
        <v>2.0032828238750002</v>
      </c>
      <c r="B22">
        <v>0.17808871495756584</v>
      </c>
      <c r="C22">
        <f t="shared" si="0"/>
        <v>0.14792790240298365</v>
      </c>
      <c r="D22">
        <f t="shared" si="1"/>
        <v>3.0160812554582195E-2</v>
      </c>
      <c r="E22">
        <f t="shared" si="2"/>
        <v>9.0967461395264292E-4</v>
      </c>
    </row>
    <row r="23" spans="1:5" x14ac:dyDescent="0.25">
      <c r="A23">
        <v>2.0964573831250002</v>
      </c>
      <c r="B23">
        <v>0.18011245035481091</v>
      </c>
      <c r="C23">
        <f t="shared" si="0"/>
        <v>0.13300353053064223</v>
      </c>
      <c r="D23">
        <f t="shared" si="1"/>
        <v>4.7108919824168677E-2</v>
      </c>
      <c r="E23">
        <f t="shared" si="2"/>
        <v>2.2192503269999526E-3</v>
      </c>
    </row>
    <row r="24" spans="1:5" x14ac:dyDescent="0.25">
      <c r="A24">
        <v>2.1896319423749997</v>
      </c>
      <c r="B24">
        <v>0.15650220405361848</v>
      </c>
      <c r="C24">
        <f t="shared" si="0"/>
        <v>0.11945484628121485</v>
      </c>
      <c r="D24">
        <f t="shared" si="1"/>
        <v>3.704735777240363E-2</v>
      </c>
      <c r="E24">
        <f t="shared" si="2"/>
        <v>1.3725067179164757E-3</v>
      </c>
    </row>
    <row r="25" spans="1:5" x14ac:dyDescent="0.25">
      <c r="A25">
        <v>2.2828065016250001</v>
      </c>
      <c r="B25">
        <v>0.14435979167014806</v>
      </c>
      <c r="C25">
        <f t="shared" si="0"/>
        <v>0.1071754337329358</v>
      </c>
      <c r="D25">
        <f t="shared" si="1"/>
        <v>3.7184357937212267E-2</v>
      </c>
      <c r="E25">
        <f t="shared" si="2"/>
        <v>1.3826764752027209E-3</v>
      </c>
    </row>
    <row r="26" spans="1:5" x14ac:dyDescent="0.25">
      <c r="A26">
        <v>2.3759810608750005</v>
      </c>
      <c r="B26">
        <v>0.12547159462919413</v>
      </c>
      <c r="C26">
        <f t="shared" si="0"/>
        <v>9.6063560153259037E-2</v>
      </c>
      <c r="D26">
        <f t="shared" si="1"/>
        <v>2.9408034475935096E-2</v>
      </c>
      <c r="E26">
        <f t="shared" si="2"/>
        <v>8.6483249173778727E-4</v>
      </c>
    </row>
    <row r="27" spans="1:5" x14ac:dyDescent="0.25">
      <c r="A27">
        <v>2.469155620125</v>
      </c>
      <c r="B27">
        <v>0.10321050525949839</v>
      </c>
      <c r="C27">
        <f t="shared" si="0"/>
        <v>8.6022723801654266E-2</v>
      </c>
      <c r="D27">
        <f t="shared" si="1"/>
        <v>1.7187781457844123E-2</v>
      </c>
      <c r="E27">
        <f t="shared" si="2"/>
        <v>2.9541983144261023E-4</v>
      </c>
    </row>
    <row r="28" spans="1:5" x14ac:dyDescent="0.25">
      <c r="A28">
        <v>2.562330179375</v>
      </c>
      <c r="B28">
        <v>9.3091828273273058E-2</v>
      </c>
      <c r="C28">
        <f t="shared" si="0"/>
        <v>7.6961978781277848E-2</v>
      </c>
      <c r="D28">
        <f t="shared" si="1"/>
        <v>1.612984949199521E-2</v>
      </c>
      <c r="E28">
        <f t="shared" si="2"/>
        <v>2.6017204463441815E-4</v>
      </c>
    </row>
    <row r="29" spans="1:5" x14ac:dyDescent="0.25">
      <c r="A29">
        <v>2.6555047386249999</v>
      </c>
      <c r="B29">
        <v>8.63460436157895E-2</v>
      </c>
      <c r="C29">
        <f t="shared" si="0"/>
        <v>6.8796088130758867E-2</v>
      </c>
      <c r="D29">
        <f t="shared" si="1"/>
        <v>1.7549955485030633E-2</v>
      </c>
      <c r="E29">
        <f t="shared" si="2"/>
        <v>3.0800093752655677E-4</v>
      </c>
    </row>
    <row r="30" spans="1:5" x14ac:dyDescent="0.25">
      <c r="A30">
        <v>2.7486792978750003</v>
      </c>
      <c r="B30">
        <v>7.5552788163815818E-2</v>
      </c>
      <c r="C30">
        <f t="shared" si="0"/>
        <v>6.1445545716189598E-2</v>
      </c>
      <c r="D30">
        <f t="shared" si="1"/>
        <v>1.410724244762622E-2</v>
      </c>
      <c r="E30">
        <f t="shared" si="2"/>
        <v>1.9901428947610703E-4</v>
      </c>
    </row>
    <row r="31" spans="1:5" x14ac:dyDescent="0.25">
      <c r="A31">
        <v>2.8418538571249998</v>
      </c>
      <c r="B31">
        <v>5.666459112286186E-2</v>
      </c>
      <c r="C31">
        <f t="shared" si="0"/>
        <v>5.4836499139802909E-2</v>
      </c>
      <c r="D31">
        <f t="shared" si="1"/>
        <v>1.8280919830589507E-3</v>
      </c>
      <c r="E31">
        <f t="shared" si="2"/>
        <v>3.3419202985244069E-6</v>
      </c>
    </row>
    <row r="32" spans="1:5" x14ac:dyDescent="0.25">
      <c r="A32">
        <v>2.9350284163750002</v>
      </c>
      <c r="B32">
        <v>6.2735797314597067E-2</v>
      </c>
      <c r="C32">
        <f t="shared" si="0"/>
        <v>4.8900599279006446E-2</v>
      </c>
      <c r="D32">
        <f t="shared" si="1"/>
        <v>1.3835198035590621E-2</v>
      </c>
      <c r="E32">
        <f t="shared" si="2"/>
        <v>1.9141270468401057E-4</v>
      </c>
    </row>
    <row r="33" spans="1:5" x14ac:dyDescent="0.25">
      <c r="A33">
        <v>3.0282029756250002</v>
      </c>
      <c r="B33">
        <v>4.0474707944901329E-2</v>
      </c>
      <c r="C33">
        <f t="shared" si="0"/>
        <v>4.3574796809006749E-2</v>
      </c>
      <c r="D33">
        <f t="shared" si="1"/>
        <v>-3.10008886410542E-3</v>
      </c>
      <c r="E33">
        <f t="shared" si="2"/>
        <v>9.6105509653504335E-6</v>
      </c>
    </row>
    <row r="34" spans="1:5" x14ac:dyDescent="0.25">
      <c r="A34">
        <v>3.1213775348750001</v>
      </c>
      <c r="B34">
        <v>3.2379766355921061E-2</v>
      </c>
      <c r="C34">
        <f t="shared" si="0"/>
        <v>3.8801101849034944E-2</v>
      </c>
      <c r="D34">
        <f t="shared" si="1"/>
        <v>-6.4213354931138833E-3</v>
      </c>
      <c r="E34">
        <f t="shared" si="2"/>
        <v>4.1233549515124122E-5</v>
      </c>
    </row>
    <row r="35" spans="1:5" x14ac:dyDescent="0.25">
      <c r="A35">
        <v>3.2145520941249996</v>
      </c>
      <c r="B35">
        <v>2.9006874027179285E-2</v>
      </c>
      <c r="C35">
        <f t="shared" si="0"/>
        <v>3.4526319484212892E-2</v>
      </c>
      <c r="D35">
        <f t="shared" si="1"/>
        <v>-5.5194454570336067E-3</v>
      </c>
      <c r="E35">
        <f t="shared" si="2"/>
        <v>3.0464278153168919E-5</v>
      </c>
    </row>
    <row r="36" spans="1:5" x14ac:dyDescent="0.25">
      <c r="A36">
        <v>3.307726653375</v>
      </c>
      <c r="B36">
        <v>2.4959403232689154E-2</v>
      </c>
      <c r="C36">
        <f t="shared" si="0"/>
        <v>3.0701771183096322E-2</v>
      </c>
      <c r="D36">
        <f t="shared" si="1"/>
        <v>-5.7423679504071679E-3</v>
      </c>
      <c r="E36">
        <f t="shared" si="2"/>
        <v>3.2974789677863417E-5</v>
      </c>
    </row>
    <row r="37" spans="1:5" x14ac:dyDescent="0.25">
      <c r="A37">
        <v>3.4009012126250004</v>
      </c>
      <c r="B37">
        <v>1.956277550670231E-2</v>
      </c>
      <c r="C37">
        <f t="shared" si="0"/>
        <v>2.7283009924184465E-2</v>
      </c>
      <c r="D37">
        <f t="shared" si="1"/>
        <v>-7.7202344174821559E-3</v>
      </c>
      <c r="E37">
        <f t="shared" si="2"/>
        <v>5.9602019460876042E-5</v>
      </c>
    </row>
    <row r="38" spans="1:5" x14ac:dyDescent="0.25">
      <c r="A38">
        <v>3.494075771875</v>
      </c>
      <c r="B38">
        <v>1.618988317796053E-2</v>
      </c>
      <c r="C38">
        <f t="shared" si="0"/>
        <v>2.422953506110067E-2</v>
      </c>
      <c r="D38">
        <f t="shared" si="1"/>
        <v>-8.0396518831401392E-3</v>
      </c>
      <c r="E38">
        <f t="shared" si="2"/>
        <v>6.4636002402078789E-5</v>
      </c>
    </row>
    <row r="39" spans="1:5" x14ac:dyDescent="0.25">
      <c r="A39">
        <v>3.5872503311249999</v>
      </c>
      <c r="B39">
        <v>2.6983138629934219E-3</v>
      </c>
      <c r="C39">
        <f t="shared" si="0"/>
        <v>2.1504511515174206E-2</v>
      </c>
      <c r="D39">
        <f t="shared" si="1"/>
        <v>-1.8806197652180785E-2</v>
      </c>
      <c r="E39">
        <f t="shared" si="2"/>
        <v>3.536730701328901E-4</v>
      </c>
    </row>
    <row r="40" spans="1:5" x14ac:dyDescent="0.25">
      <c r="A40">
        <v>3.6804248903749999</v>
      </c>
      <c r="B40">
        <v>6.7457846574835547E-4</v>
      </c>
      <c r="C40">
        <f t="shared" si="0"/>
        <v>1.907449672167048E-2</v>
      </c>
      <c r="D40">
        <f t="shared" si="1"/>
        <v>-1.8399918255922125E-2</v>
      </c>
      <c r="E40">
        <f t="shared" si="2"/>
        <v>3.3855699182461631E-4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7E19-E003-411B-AD34-1766A147D90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4.7780531637499998E-2</v>
      </c>
      <c r="B1">
        <v>0.48819836752773837</v>
      </c>
      <c r="C1">
        <f>$H$3*(1+$H$1)*(A1^($H$1))*EXP(-$H$3*(A1^(1+$H$1)))</f>
        <v>0.60544149632197297</v>
      </c>
      <c r="D1">
        <f>B1-C1</f>
        <v>-0.1172431287942346</v>
      </c>
      <c r="E1">
        <f>D1^2</f>
        <v>1.3745951249461482E-2</v>
      </c>
      <c r="G1" t="s">
        <v>0</v>
      </c>
      <c r="H1">
        <v>0.19112207677733217</v>
      </c>
    </row>
    <row r="2" spans="1:8" x14ac:dyDescent="0.25">
      <c r="A2">
        <v>0.14034885291249999</v>
      </c>
      <c r="B2">
        <v>0.86164635381460364</v>
      </c>
      <c r="C2">
        <f t="shared" ref="C2:C40" si="0">$H$3*(1+$H$1)*(A2^($H$1))*EXP(-$H$3*(A2^(1+$H$1)))</f>
        <v>0.69710183270960924</v>
      </c>
      <c r="D2">
        <f t="shared" ref="D2:D40" si="1">B2-C2</f>
        <v>0.1645445211049944</v>
      </c>
      <c r="E2">
        <f t="shared" ref="E2:E40" si="2">D2^2</f>
        <v>2.7074899425671949E-2</v>
      </c>
    </row>
    <row r="3" spans="1:8" x14ac:dyDescent="0.25">
      <c r="A3">
        <v>0.23291717418749999</v>
      </c>
      <c r="B3">
        <v>0.72109411170300164</v>
      </c>
      <c r="C3">
        <f t="shared" si="0"/>
        <v>0.71288185707701834</v>
      </c>
      <c r="D3">
        <f t="shared" si="1"/>
        <v>8.2122546259832951E-3</v>
      </c>
      <c r="E3">
        <f t="shared" si="2"/>
        <v>6.7441126041984027E-5</v>
      </c>
      <c r="G3" t="s">
        <v>1</v>
      </c>
      <c r="H3">
        <f>(_xlfn.GAMMA((2+$H$1)/(1+$H$1)))^(1+$H$1)</f>
        <v>0.93186642649961315</v>
      </c>
    </row>
    <row r="4" spans="1:8" x14ac:dyDescent="0.25">
      <c r="A4">
        <v>0.3254854954625</v>
      </c>
      <c r="B4">
        <v>0.67695934968728111</v>
      </c>
      <c r="C4">
        <f t="shared" si="0"/>
        <v>0.70121503925997808</v>
      </c>
      <c r="D4">
        <f t="shared" si="1"/>
        <v>-2.425568957269697E-2</v>
      </c>
      <c r="E4">
        <f t="shared" si="2"/>
        <v>5.8833847664704051E-4</v>
      </c>
    </row>
    <row r="5" spans="1:8" x14ac:dyDescent="0.25">
      <c r="A5">
        <v>0.41805381673749997</v>
      </c>
      <c r="B5">
        <v>0.59615878538157763</v>
      </c>
      <c r="C5">
        <f t="shared" si="0"/>
        <v>0.67562714853984096</v>
      </c>
      <c r="D5">
        <f t="shared" si="1"/>
        <v>-7.9468363158263333E-2</v>
      </c>
      <c r="E5">
        <f t="shared" si="2"/>
        <v>6.3152207430536254E-3</v>
      </c>
      <c r="G5" t="s">
        <v>2</v>
      </c>
      <c r="H5">
        <f>SUM(E1:E40)</f>
        <v>8.3167477723082195E-2</v>
      </c>
    </row>
    <row r="6" spans="1:8" x14ac:dyDescent="0.25">
      <c r="A6">
        <v>0.5106221380125</v>
      </c>
      <c r="B6">
        <v>0.54523405997882324</v>
      </c>
      <c r="C6">
        <f t="shared" si="0"/>
        <v>0.64236514566239356</v>
      </c>
      <c r="D6">
        <f t="shared" si="1"/>
        <v>-9.7131085683570317E-2</v>
      </c>
      <c r="E6">
        <f t="shared" si="2"/>
        <v>9.4344478060690781E-3</v>
      </c>
    </row>
    <row r="7" spans="1:8" x14ac:dyDescent="0.25">
      <c r="A7">
        <v>0.60319045928749992</v>
      </c>
      <c r="B7">
        <v>0.54048108560789954</v>
      </c>
      <c r="C7">
        <f t="shared" si="0"/>
        <v>0.60494787123328697</v>
      </c>
      <c r="D7">
        <f t="shared" si="1"/>
        <v>-6.4466785625387435E-2</v>
      </c>
      <c r="E7">
        <f t="shared" si="2"/>
        <v>4.1559664488696598E-3</v>
      </c>
    </row>
    <row r="8" spans="1:8" x14ac:dyDescent="0.25">
      <c r="A8">
        <v>0.69575878056249996</v>
      </c>
      <c r="B8">
        <v>0.53437011855956895</v>
      </c>
      <c r="C8">
        <f t="shared" si="0"/>
        <v>0.56556691868618136</v>
      </c>
      <c r="D8">
        <f t="shared" si="1"/>
        <v>-3.1196800126612412E-2</v>
      </c>
      <c r="E8">
        <f t="shared" si="2"/>
        <v>9.7324033813980424E-4</v>
      </c>
    </row>
    <row r="9" spans="1:8" x14ac:dyDescent="0.25">
      <c r="A9">
        <v>0.78832710183749999</v>
      </c>
      <c r="B9">
        <v>0.51807420643068758</v>
      </c>
      <c r="C9">
        <f t="shared" si="0"/>
        <v>0.52566206866396736</v>
      </c>
      <c r="D9">
        <f t="shared" si="1"/>
        <v>-7.5878622332797852E-3</v>
      </c>
      <c r="E9">
        <f t="shared" si="2"/>
        <v>5.7575653271233688E-5</v>
      </c>
    </row>
    <row r="10" spans="1:8" x14ac:dyDescent="0.25">
      <c r="A10">
        <v>0.88089542311249991</v>
      </c>
      <c r="B10">
        <v>0.43048367873795013</v>
      </c>
      <c r="C10">
        <f t="shared" si="0"/>
        <v>0.48620373454670263</v>
      </c>
      <c r="D10">
        <f t="shared" si="1"/>
        <v>-5.57200558087525E-2</v>
      </c>
      <c r="E10">
        <f t="shared" si="2"/>
        <v>3.1047246193304933E-3</v>
      </c>
    </row>
    <row r="11" spans="1:8" x14ac:dyDescent="0.25">
      <c r="A11">
        <v>0.97346374438750005</v>
      </c>
      <c r="B11">
        <v>0.42233572267350938</v>
      </c>
      <c r="C11">
        <f t="shared" si="0"/>
        <v>0.44784975144913786</v>
      </c>
      <c r="D11">
        <f t="shared" si="1"/>
        <v>-2.5514028775628472E-2</v>
      </c>
      <c r="E11">
        <f t="shared" si="2"/>
        <v>6.5096566436359776E-4</v>
      </c>
    </row>
    <row r="12" spans="1:8" x14ac:dyDescent="0.25">
      <c r="A12">
        <v>1.0660320656625</v>
      </c>
      <c r="B12">
        <v>0.42097772999610261</v>
      </c>
      <c r="C12">
        <f t="shared" si="0"/>
        <v>0.41104058490536194</v>
      </c>
      <c r="D12">
        <f t="shared" si="1"/>
        <v>9.9371450907406733E-3</v>
      </c>
      <c r="E12">
        <f t="shared" si="2"/>
        <v>9.8746852554431464E-5</v>
      </c>
    </row>
    <row r="13" spans="1:8" x14ac:dyDescent="0.25">
      <c r="A13">
        <v>1.1586003869374999</v>
      </c>
      <c r="B13">
        <v>0.38634891672222965</v>
      </c>
      <c r="C13">
        <f t="shared" si="0"/>
        <v>0.3760611603361545</v>
      </c>
      <c r="D13">
        <f t="shared" si="1"/>
        <v>1.0287756386075153E-2</v>
      </c>
      <c r="E13">
        <f t="shared" si="2"/>
        <v>1.058379314592301E-4</v>
      </c>
    </row>
    <row r="14" spans="1:8" x14ac:dyDescent="0.25">
      <c r="A14">
        <v>1.2511687082124998</v>
      </c>
      <c r="B14">
        <v>0.3388191730129923</v>
      </c>
      <c r="C14">
        <f t="shared" si="0"/>
        <v>0.34308310312422075</v>
      </c>
      <c r="D14">
        <f t="shared" si="1"/>
        <v>-4.2639301112284422E-3</v>
      </c>
      <c r="E14">
        <f t="shared" si="2"/>
        <v>1.8181099993440595E-5</v>
      </c>
    </row>
    <row r="15" spans="1:8" x14ac:dyDescent="0.25">
      <c r="A15">
        <v>1.3437370294875</v>
      </c>
      <c r="B15">
        <v>0.3136963084809668</v>
      </c>
      <c r="C15">
        <f t="shared" si="0"/>
        <v>0.31219472030832085</v>
      </c>
      <c r="D15">
        <f t="shared" si="1"/>
        <v>1.5015881726459512E-3</v>
      </c>
      <c r="E15">
        <f t="shared" si="2"/>
        <v>2.2547670402302069E-6</v>
      </c>
    </row>
    <row r="16" spans="1:8" x14ac:dyDescent="0.25">
      <c r="A16">
        <v>1.4363053507624999</v>
      </c>
      <c r="B16">
        <v>0.32320225722281426</v>
      </c>
      <c r="C16">
        <f t="shared" si="0"/>
        <v>0.28342289875518206</v>
      </c>
      <c r="D16">
        <f t="shared" si="1"/>
        <v>3.9779358467632198E-2</v>
      </c>
      <c r="E16">
        <f t="shared" si="2"/>
        <v>1.5823973600963815E-3</v>
      </c>
    </row>
    <row r="17" spans="1:5" x14ac:dyDescent="0.25">
      <c r="A17">
        <v>1.5288736720375</v>
      </c>
      <c r="B17">
        <v>0.29740039635208543</v>
      </c>
      <c r="C17">
        <f t="shared" si="0"/>
        <v>0.25674943932594302</v>
      </c>
      <c r="D17">
        <f t="shared" si="1"/>
        <v>4.0650957026142409E-2</v>
      </c>
      <c r="E17">
        <f t="shared" si="2"/>
        <v>1.6525003071412769E-3</v>
      </c>
    </row>
    <row r="18" spans="1:5" x14ac:dyDescent="0.25">
      <c r="A18">
        <v>1.6214419933124999</v>
      </c>
      <c r="B18">
        <v>0.27431452083617008</v>
      </c>
      <c r="C18">
        <f t="shared" si="0"/>
        <v>0.23212342509603245</v>
      </c>
      <c r="D18">
        <f t="shared" si="1"/>
        <v>4.219109574013763E-2</v>
      </c>
      <c r="E18">
        <f t="shared" si="2"/>
        <v>1.7800885597534597E-3</v>
      </c>
    </row>
    <row r="19" spans="1:5" x14ac:dyDescent="0.25">
      <c r="A19">
        <v>1.7140103145874999</v>
      </c>
      <c r="B19">
        <v>0.22814276980433948</v>
      </c>
      <c r="C19">
        <f t="shared" si="0"/>
        <v>0.20947068175807815</v>
      </c>
      <c r="D19">
        <f t="shared" si="1"/>
        <v>1.8672088046261331E-2</v>
      </c>
      <c r="E19">
        <f t="shared" si="2"/>
        <v>3.486468720073353E-4</v>
      </c>
    </row>
    <row r="20" spans="1:5" x14ac:dyDescent="0.25">
      <c r="A20">
        <v>1.8065786358625</v>
      </c>
      <c r="B20">
        <v>0.21659983204638183</v>
      </c>
      <c r="C20">
        <f t="shared" si="0"/>
        <v>0.18870105739976473</v>
      </c>
      <c r="D20">
        <f t="shared" si="1"/>
        <v>2.7898774646617108E-2</v>
      </c>
      <c r="E20">
        <f t="shared" si="2"/>
        <v>7.7834162678272554E-4</v>
      </c>
    </row>
    <row r="21" spans="1:5" x14ac:dyDescent="0.25">
      <c r="A21">
        <v>1.8991469571374999</v>
      </c>
      <c r="B21">
        <v>0.21388384669156826</v>
      </c>
      <c r="C21">
        <f t="shared" si="0"/>
        <v>0.16971403771775553</v>
      </c>
      <c r="D21">
        <f t="shared" si="1"/>
        <v>4.416980897381273E-2</v>
      </c>
      <c r="E21">
        <f t="shared" si="2"/>
        <v>1.9509720247831075E-3</v>
      </c>
    </row>
    <row r="22" spans="1:5" x14ac:dyDescent="0.25">
      <c r="A22">
        <v>1.9917152784125001</v>
      </c>
      <c r="B22">
        <v>0.19011897483694956</v>
      </c>
      <c r="C22">
        <f t="shared" si="0"/>
        <v>0.15240307309960949</v>
      </c>
      <c r="D22">
        <f t="shared" si="1"/>
        <v>3.7715901737340074E-2</v>
      </c>
      <c r="E22">
        <f t="shared" si="2"/>
        <v>1.4224892438606919E-3</v>
      </c>
    </row>
    <row r="23" spans="1:5" x14ac:dyDescent="0.25">
      <c r="A23">
        <v>2.0842835996874998</v>
      </c>
      <c r="B23">
        <v>0.17586005172417835</v>
      </c>
      <c r="C23">
        <f t="shared" si="0"/>
        <v>0.13665889862115982</v>
      </c>
      <c r="D23">
        <f t="shared" si="1"/>
        <v>3.9201153103018527E-2</v>
      </c>
      <c r="E23">
        <f t="shared" si="2"/>
        <v>1.536730404606299E-3</v>
      </c>
    </row>
    <row r="24" spans="1:5" x14ac:dyDescent="0.25">
      <c r="A24">
        <v>2.1768519209625001</v>
      </c>
      <c r="B24">
        <v>0.15616915790178001</v>
      </c>
      <c r="C24">
        <f t="shared" si="0"/>
        <v>0.12237206091755599</v>
      </c>
      <c r="D24">
        <f t="shared" si="1"/>
        <v>3.379709698422402E-2</v>
      </c>
      <c r="E24">
        <f t="shared" si="2"/>
        <v>1.1422437645610443E-3</v>
      </c>
    </row>
    <row r="25" spans="1:5" x14ac:dyDescent="0.25">
      <c r="A25">
        <v>2.2694202422375001</v>
      </c>
      <c r="B25">
        <v>0.15073718719215287</v>
      </c>
      <c r="C25">
        <f t="shared" si="0"/>
        <v>0.10943481744883965</v>
      </c>
      <c r="D25">
        <f t="shared" si="1"/>
        <v>4.1302369743313222E-2</v>
      </c>
      <c r="E25">
        <f t="shared" si="2"/>
        <v>1.7058857464133555E-3</v>
      </c>
    </row>
    <row r="26" spans="1:5" x14ac:dyDescent="0.25">
      <c r="A26">
        <v>2.3619885635125</v>
      </c>
      <c r="B26">
        <v>0.12289833730531383</v>
      </c>
      <c r="C26">
        <f t="shared" si="0"/>
        <v>9.7742537888608635E-2</v>
      </c>
      <c r="D26">
        <f t="shared" si="1"/>
        <v>2.5155799416705191E-2</v>
      </c>
      <c r="E26">
        <f t="shared" si="2"/>
        <v>6.3281424429350523E-4</v>
      </c>
    </row>
    <row r="27" spans="1:5" x14ac:dyDescent="0.25">
      <c r="A27">
        <v>2.4545568847874999</v>
      </c>
      <c r="B27">
        <v>0.10796041785383922</v>
      </c>
      <c r="C27">
        <f t="shared" si="0"/>
        <v>8.7194710370958176E-2</v>
      </c>
      <c r="D27">
        <f t="shared" si="1"/>
        <v>2.0765707482881049E-2</v>
      </c>
      <c r="E27">
        <f t="shared" si="2"/>
        <v>4.3121460726458201E-4</v>
      </c>
    </row>
    <row r="28" spans="1:5" x14ac:dyDescent="0.25">
      <c r="A28">
        <v>2.5471252060624998</v>
      </c>
      <c r="B28">
        <v>9.573848375717818E-2</v>
      </c>
      <c r="C28">
        <f t="shared" si="0"/>
        <v>7.7695634609930939E-2</v>
      </c>
      <c r="D28">
        <f t="shared" si="1"/>
        <v>1.8042849147247242E-2</v>
      </c>
      <c r="E28">
        <f t="shared" si="2"/>
        <v>3.2554440535032051E-4</v>
      </c>
    </row>
    <row r="29" spans="1:5" x14ac:dyDescent="0.25">
      <c r="A29">
        <v>2.6396935273374997</v>
      </c>
      <c r="B29">
        <v>8.6911531354034094E-2</v>
      </c>
      <c r="C29">
        <f t="shared" si="0"/>
        <v>6.9154867756943697E-2</v>
      </c>
      <c r="D29">
        <f t="shared" si="1"/>
        <v>1.7756663597090397E-2</v>
      </c>
      <c r="E29">
        <f t="shared" si="2"/>
        <v>3.1529910210023528E-4</v>
      </c>
    </row>
    <row r="30" spans="1:5" x14ac:dyDescent="0.25">
      <c r="A30">
        <v>2.7322618486124997</v>
      </c>
      <c r="B30">
        <v>7.2652608241262878E-2</v>
      </c>
      <c r="C30">
        <f t="shared" si="0"/>
        <v>6.1487476114489459E-2</v>
      </c>
      <c r="D30">
        <f t="shared" si="1"/>
        <v>1.1165132126773419E-2</v>
      </c>
      <c r="E30">
        <f t="shared" si="2"/>
        <v>1.2466017540830793E-4</v>
      </c>
    </row>
    <row r="31" spans="1:5" x14ac:dyDescent="0.25">
      <c r="A31">
        <v>2.8248301698875</v>
      </c>
      <c r="B31">
        <v>6.3825655838118792E-2</v>
      </c>
      <c r="C31">
        <f t="shared" si="0"/>
        <v>5.4614135655180855E-2</v>
      </c>
      <c r="D31">
        <f t="shared" si="1"/>
        <v>9.2115201829379365E-3</v>
      </c>
      <c r="E31">
        <f t="shared" si="2"/>
        <v>8.4852104080672961E-5</v>
      </c>
    </row>
    <row r="32" spans="1:5" x14ac:dyDescent="0.25">
      <c r="A32">
        <v>2.9173984911625004</v>
      </c>
      <c r="B32">
        <v>6.2467663160712006E-2</v>
      </c>
      <c r="C32">
        <f t="shared" si="0"/>
        <v>4.8461116112336708E-2</v>
      </c>
      <c r="D32">
        <f t="shared" si="1"/>
        <v>1.4006547048375298E-2</v>
      </c>
      <c r="E32">
        <f t="shared" si="2"/>
        <v>1.9618336021835078E-4</v>
      </c>
    </row>
    <row r="33" spans="1:5" x14ac:dyDescent="0.25">
      <c r="A33">
        <v>3.0099668124374999</v>
      </c>
      <c r="B33">
        <v>4.0739780322203482E-2</v>
      </c>
      <c r="C33">
        <f t="shared" si="0"/>
        <v>4.2960176778513E-2</v>
      </c>
      <c r="D33">
        <f t="shared" si="1"/>
        <v>-2.2203964563095174E-3</v>
      </c>
      <c r="E33">
        <f t="shared" si="2"/>
        <v>4.9301604231918631E-6</v>
      </c>
    </row>
    <row r="34" spans="1:5" x14ac:dyDescent="0.25">
      <c r="A34">
        <v>3.1025351337125002</v>
      </c>
      <c r="B34">
        <v>3.3270820596466175E-2</v>
      </c>
      <c r="C34">
        <f t="shared" si="0"/>
        <v>3.8048396748438088E-2</v>
      </c>
      <c r="D34">
        <f t="shared" si="1"/>
        <v>-4.7775761519719129E-3</v>
      </c>
      <c r="E34">
        <f t="shared" si="2"/>
        <v>2.282523388789075E-5</v>
      </c>
    </row>
    <row r="35" spans="1:5" x14ac:dyDescent="0.25">
      <c r="A35">
        <v>3.1951034549875001</v>
      </c>
      <c r="B35">
        <v>3.1912827919059396E-2</v>
      </c>
      <c r="C35">
        <f t="shared" si="0"/>
        <v>3.3667957927466727E-2</v>
      </c>
      <c r="D35">
        <f t="shared" si="1"/>
        <v>-1.755130008407331E-3</v>
      </c>
      <c r="E35">
        <f t="shared" si="2"/>
        <v>3.0804813464119175E-6</v>
      </c>
    </row>
    <row r="36" spans="1:5" x14ac:dyDescent="0.25">
      <c r="A36">
        <v>3.2876717762625001</v>
      </c>
      <c r="B36">
        <v>2.2406879177211913E-2</v>
      </c>
      <c r="C36">
        <f t="shared" si="0"/>
        <v>2.9765895506849077E-2</v>
      </c>
      <c r="D36">
        <f t="shared" si="1"/>
        <v>-7.3590163296371643E-3</v>
      </c>
      <c r="E36">
        <f t="shared" si="2"/>
        <v>5.4155121339866437E-5</v>
      </c>
    </row>
    <row r="37" spans="1:5" x14ac:dyDescent="0.25">
      <c r="A37">
        <v>3.3802400975375</v>
      </c>
      <c r="B37">
        <v>2.2406879177211913E-2</v>
      </c>
      <c r="C37">
        <f t="shared" si="0"/>
        <v>2.629382763500757E-2</v>
      </c>
      <c r="D37">
        <f t="shared" si="1"/>
        <v>-3.8869484577956567E-3</v>
      </c>
      <c r="E37">
        <f t="shared" si="2"/>
        <v>1.5108368313560035E-5</v>
      </c>
    </row>
    <row r="38" spans="1:5" x14ac:dyDescent="0.25">
      <c r="A38">
        <v>3.4728084188124999</v>
      </c>
      <c r="B38">
        <v>1.3579926774067826E-2</v>
      </c>
      <c r="C38">
        <f t="shared" si="0"/>
        <v>2.3207673572525057E-2</v>
      </c>
      <c r="D38">
        <f t="shared" si="1"/>
        <v>-9.6277467984572304E-3</v>
      </c>
      <c r="E38">
        <f t="shared" si="2"/>
        <v>9.2693508415203453E-5</v>
      </c>
    </row>
    <row r="39" spans="1:5" x14ac:dyDescent="0.25">
      <c r="A39">
        <v>3.5653767400874998</v>
      </c>
      <c r="B39">
        <v>4.0739780322203477E-3</v>
      </c>
      <c r="C39">
        <f t="shared" si="0"/>
        <v>2.046736761390015E-2</v>
      </c>
      <c r="D39">
        <f t="shared" si="1"/>
        <v>-1.6393389581679803E-2</v>
      </c>
      <c r="E39">
        <f t="shared" si="2"/>
        <v>2.687432219767279E-4</v>
      </c>
    </row>
    <row r="40" spans="1:5" x14ac:dyDescent="0.25">
      <c r="A40">
        <v>3.6579450613624998</v>
      </c>
      <c r="B40">
        <v>6.7899633870339136E-4</v>
      </c>
      <c r="C40">
        <f t="shared" si="0"/>
        <v>1.8036574415452474E-2</v>
      </c>
      <c r="D40">
        <f t="shared" si="1"/>
        <v>-1.7357578076749081E-2</v>
      </c>
      <c r="E40">
        <f t="shared" si="2"/>
        <v>3.0128551669044031E-4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8367-D6B6-4ECD-9EB1-59ED2321F7F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4.6083027749999998E-2</v>
      </c>
      <c r="B1">
        <v>0.36980374042838865</v>
      </c>
      <c r="C1">
        <f>$H$3*(1+$H$1)*(A1^($H$1))*EXP(-$H$3*(A1^(1+$H$1)))</f>
        <v>0.55930062629018795</v>
      </c>
      <c r="D1">
        <f>B1-C1</f>
        <v>-0.1894968858617993</v>
      </c>
      <c r="E1">
        <f>D1^2</f>
        <v>3.5909069751319793E-2</v>
      </c>
      <c r="G1" t="s">
        <v>0</v>
      </c>
      <c r="H1">
        <v>0.22063279024930738</v>
      </c>
    </row>
    <row r="2" spans="1:8" x14ac:dyDescent="0.25">
      <c r="A2">
        <v>0.13818648324999999</v>
      </c>
      <c r="B2">
        <v>0.8726549520441127</v>
      </c>
      <c r="C2">
        <f t="shared" ref="C2:C40" si="0">$H$3*(1+$H$1)*(A2^($H$1))*EXP(-$H$3*(A2^(1+$H$1)))</f>
        <v>0.67056207246561439</v>
      </c>
      <c r="D2">
        <f t="shared" ref="D2:D40" si="1">B2-C2</f>
        <v>0.20209287957849831</v>
      </c>
      <c r="E2">
        <f t="shared" ref="E2:E40" si="2">D2^2</f>
        <v>4.084153197632942E-2</v>
      </c>
    </row>
    <row r="3" spans="1:8" x14ac:dyDescent="0.25">
      <c r="A3">
        <v>0.23028993875000003</v>
      </c>
      <c r="B3">
        <v>0.77303992233462049</v>
      </c>
      <c r="C3">
        <f t="shared" si="0"/>
        <v>0.69887288048055018</v>
      </c>
      <c r="D3">
        <f t="shared" si="1"/>
        <v>7.4167041854070304E-2</v>
      </c>
      <c r="E3">
        <f t="shared" si="2"/>
        <v>5.500750097383416E-3</v>
      </c>
      <c r="G3" t="s">
        <v>1</v>
      </c>
      <c r="H3">
        <f>(_xlfn.GAMMA((2+$H$1)/(1+$H$1)))^(1+$H$1)</f>
        <v>0.92320320413248802</v>
      </c>
    </row>
    <row r="4" spans="1:8" x14ac:dyDescent="0.25">
      <c r="A4">
        <v>0.32239339425000002</v>
      </c>
      <c r="B4">
        <v>0.69457602907029459</v>
      </c>
      <c r="C4">
        <f t="shared" si="0"/>
        <v>0.69618178541900899</v>
      </c>
      <c r="D4">
        <f t="shared" si="1"/>
        <v>-1.6057563487144044E-3</v>
      </c>
      <c r="E4">
        <f t="shared" si="2"/>
        <v>2.578453451436616E-6</v>
      </c>
    </row>
    <row r="5" spans="1:8" x14ac:dyDescent="0.25">
      <c r="A5">
        <v>0.41449684975000001</v>
      </c>
      <c r="B5">
        <v>0.61133607273770518</v>
      </c>
      <c r="C5">
        <f t="shared" si="0"/>
        <v>0.67710218277682199</v>
      </c>
      <c r="D5">
        <f t="shared" si="1"/>
        <v>-6.576611003911681E-2</v>
      </c>
      <c r="E5">
        <f t="shared" si="2"/>
        <v>4.3251812296772208E-3</v>
      </c>
      <c r="G5" t="s">
        <v>2</v>
      </c>
      <c r="H5">
        <f>SUM(E1:E40)</f>
        <v>0.12158851639933284</v>
      </c>
    </row>
    <row r="6" spans="1:8" x14ac:dyDescent="0.25">
      <c r="A6">
        <v>0.50660030524999999</v>
      </c>
      <c r="B6">
        <v>0.56152855788295919</v>
      </c>
      <c r="C6">
        <f t="shared" si="0"/>
        <v>0.64849058742491383</v>
      </c>
      <c r="D6">
        <f t="shared" si="1"/>
        <v>-8.6962029541954644E-2</v>
      </c>
      <c r="E6">
        <f t="shared" si="2"/>
        <v>7.5623945820557925E-3</v>
      </c>
    </row>
    <row r="7" spans="1:8" x14ac:dyDescent="0.25">
      <c r="A7">
        <v>0.59870376075000009</v>
      </c>
      <c r="B7">
        <v>0.54242430560990584</v>
      </c>
      <c r="C7">
        <f t="shared" si="0"/>
        <v>0.61428542351008097</v>
      </c>
      <c r="D7">
        <f t="shared" si="1"/>
        <v>-7.1861117900175131E-2</v>
      </c>
      <c r="E7">
        <f t="shared" si="2"/>
        <v>5.1640202658628708E-3</v>
      </c>
    </row>
    <row r="8" spans="1:8" x14ac:dyDescent="0.25">
      <c r="A8">
        <v>0.69080721625000008</v>
      </c>
      <c r="B8">
        <v>0.53491906364549202</v>
      </c>
      <c r="C8">
        <f t="shared" si="0"/>
        <v>0.57699467219140776</v>
      </c>
      <c r="D8">
        <f t="shared" si="1"/>
        <v>-4.2075608545915744E-2</v>
      </c>
      <c r="E8">
        <f t="shared" si="2"/>
        <v>1.7703568345091381E-3</v>
      </c>
    </row>
    <row r="9" spans="1:8" x14ac:dyDescent="0.25">
      <c r="A9">
        <v>0.78291067175000006</v>
      </c>
      <c r="B9">
        <v>0.52332005333685261</v>
      </c>
      <c r="C9">
        <f t="shared" si="0"/>
        <v>0.53830720765327689</v>
      </c>
      <c r="D9">
        <f t="shared" si="1"/>
        <v>-1.4987154316424278E-2</v>
      </c>
      <c r="E9">
        <f t="shared" si="2"/>
        <v>2.2461479450431487E-4</v>
      </c>
    </row>
    <row r="10" spans="1:8" x14ac:dyDescent="0.25">
      <c r="A10">
        <v>0.87501412725000005</v>
      </c>
      <c r="B10">
        <v>0.43735091810811277</v>
      </c>
      <c r="C10">
        <f t="shared" si="0"/>
        <v>0.49939357605712531</v>
      </c>
      <c r="D10">
        <f t="shared" si="1"/>
        <v>-6.2042657949012536E-2</v>
      </c>
      <c r="E10">
        <f t="shared" si="2"/>
        <v>3.8492914053781684E-3</v>
      </c>
    </row>
    <row r="11" spans="1:8" x14ac:dyDescent="0.25">
      <c r="A11">
        <v>0.96711758275000004</v>
      </c>
      <c r="B11">
        <v>0.42097584473120997</v>
      </c>
      <c r="C11">
        <f t="shared" si="0"/>
        <v>0.46107375619140378</v>
      </c>
      <c r="D11">
        <f t="shared" si="1"/>
        <v>-4.0097911460193814E-2</v>
      </c>
      <c r="E11">
        <f t="shared" si="2"/>
        <v>1.6078425034695423E-3</v>
      </c>
    </row>
    <row r="12" spans="1:8" x14ac:dyDescent="0.25">
      <c r="A12">
        <v>1.05922103825</v>
      </c>
      <c r="B12">
        <v>0.43121026559177422</v>
      </c>
      <c r="C12">
        <f t="shared" si="0"/>
        <v>0.42391977664109864</v>
      </c>
      <c r="D12">
        <f t="shared" si="1"/>
        <v>7.2904889506755777E-3</v>
      </c>
      <c r="E12">
        <f t="shared" si="2"/>
        <v>5.3151229139922687E-5</v>
      </c>
    </row>
    <row r="13" spans="1:8" x14ac:dyDescent="0.25">
      <c r="A13">
        <v>1.1513244937500002</v>
      </c>
      <c r="B13">
        <v>0.39436635049374286</v>
      </c>
      <c r="C13">
        <f t="shared" si="0"/>
        <v>0.38832300603894232</v>
      </c>
      <c r="D13">
        <f t="shared" si="1"/>
        <v>6.0433444548005366E-3</v>
      </c>
      <c r="E13">
        <f t="shared" si="2"/>
        <v>3.6522012199368394E-5</v>
      </c>
    </row>
    <row r="14" spans="1:8" x14ac:dyDescent="0.25">
      <c r="A14">
        <v>1.24342794925</v>
      </c>
      <c r="B14">
        <v>0.3322775306063197</v>
      </c>
      <c r="C14">
        <f t="shared" si="0"/>
        <v>0.3545406665285023</v>
      </c>
      <c r="D14">
        <f t="shared" si="1"/>
        <v>-2.2263135922182598E-2</v>
      </c>
      <c r="E14">
        <f t="shared" si="2"/>
        <v>4.9564722108957719E-4</v>
      </c>
    </row>
    <row r="15" spans="1:8" x14ac:dyDescent="0.25">
      <c r="A15">
        <v>1.33553140475</v>
      </c>
      <c r="B15">
        <v>0.31999622557364255</v>
      </c>
      <c r="C15">
        <f t="shared" si="0"/>
        <v>0.32272929111805232</v>
      </c>
      <c r="D15">
        <f t="shared" si="1"/>
        <v>-2.733065544409774E-3</v>
      </c>
      <c r="E15">
        <f t="shared" si="2"/>
        <v>7.4696472700398946E-6</v>
      </c>
    </row>
    <row r="16" spans="1:8" x14ac:dyDescent="0.25">
      <c r="A16">
        <v>1.42763486025</v>
      </c>
      <c r="B16">
        <v>0.32750146753805637</v>
      </c>
      <c r="C16">
        <f t="shared" si="0"/>
        <v>0.29296951596871379</v>
      </c>
      <c r="D16">
        <f t="shared" si="1"/>
        <v>3.4531951569342578E-2</v>
      </c>
      <c r="E16">
        <f t="shared" si="2"/>
        <v>1.1924556791874214E-3</v>
      </c>
    </row>
    <row r="17" spans="1:5" x14ac:dyDescent="0.25">
      <c r="A17">
        <v>1.5197383157500002</v>
      </c>
      <c r="B17">
        <v>0.29611591023232597</v>
      </c>
      <c r="C17">
        <f t="shared" si="0"/>
        <v>0.26528485696328258</v>
      </c>
      <c r="D17">
        <f t="shared" si="1"/>
        <v>3.0831053269043396E-2</v>
      </c>
      <c r="E17">
        <f t="shared" si="2"/>
        <v>9.5055384567859142E-4</v>
      </c>
    </row>
    <row r="18" spans="1:5" x14ac:dyDescent="0.25">
      <c r="A18">
        <v>1.6118417712499999</v>
      </c>
      <c r="B18">
        <v>0.2742824790631222</v>
      </c>
      <c r="C18">
        <f t="shared" si="0"/>
        <v>0.23965615312816824</v>
      </c>
      <c r="D18">
        <f t="shared" si="1"/>
        <v>3.4626325934953961E-2</v>
      </c>
      <c r="E18">
        <f t="shared" si="2"/>
        <v>1.1989824477536652E-3</v>
      </c>
    </row>
    <row r="19" spans="1:5" x14ac:dyDescent="0.25">
      <c r="A19">
        <v>1.7039452267500002</v>
      </c>
      <c r="B19">
        <v>0.23402709034490277</v>
      </c>
      <c r="C19">
        <f t="shared" si="0"/>
        <v>0.21603279455123792</v>
      </c>
      <c r="D19">
        <f t="shared" si="1"/>
        <v>1.799429579366485E-2</v>
      </c>
      <c r="E19">
        <f t="shared" si="2"/>
        <v>3.237946811099045E-4</v>
      </c>
    </row>
    <row r="20" spans="1:5" x14ac:dyDescent="0.25">
      <c r="A20">
        <v>1.7960486822499999</v>
      </c>
      <c r="B20">
        <v>0.22174578531222566</v>
      </c>
      <c r="C20">
        <f t="shared" si="0"/>
        <v>0.19434150696028268</v>
      </c>
      <c r="D20">
        <f t="shared" si="1"/>
        <v>2.7404278351942979E-2</v>
      </c>
      <c r="E20">
        <f t="shared" si="2"/>
        <v>7.5099447199077063E-4</v>
      </c>
    </row>
    <row r="21" spans="1:5" x14ac:dyDescent="0.25">
      <c r="A21">
        <v>1.8881521377500001</v>
      </c>
      <c r="B21">
        <v>0.20673530138339807</v>
      </c>
      <c r="C21">
        <f t="shared" si="0"/>
        <v>0.17449324501520574</v>
      </c>
      <c r="D21">
        <f t="shared" si="1"/>
        <v>3.2242056368192329E-2</v>
      </c>
      <c r="E21">
        <f t="shared" si="2"/>
        <v>1.0395501988496915E-3</v>
      </c>
    </row>
    <row r="22" spans="1:5" x14ac:dyDescent="0.25">
      <c r="A22">
        <v>1.9802555932500003</v>
      </c>
      <c r="B22">
        <v>0.19786546997090906</v>
      </c>
      <c r="C22">
        <f t="shared" si="0"/>
        <v>0.15638860079450836</v>
      </c>
      <c r="D22">
        <f t="shared" si="1"/>
        <v>4.1476869176400699E-2</v>
      </c>
      <c r="E22">
        <f t="shared" si="2"/>
        <v>1.7203306766762584E-3</v>
      </c>
    </row>
    <row r="23" spans="1:5" x14ac:dyDescent="0.25">
      <c r="A23">
        <v>2.0723590487500001</v>
      </c>
      <c r="B23">
        <v>0.17603203880170529</v>
      </c>
      <c r="C23">
        <f t="shared" si="0"/>
        <v>0.13992203433403766</v>
      </c>
      <c r="D23">
        <f t="shared" si="1"/>
        <v>3.6110004467667628E-2</v>
      </c>
      <c r="E23">
        <f t="shared" si="2"/>
        <v>1.303932422654976E-3</v>
      </c>
    </row>
    <row r="24" spans="1:5" x14ac:dyDescent="0.25">
      <c r="A24">
        <v>2.1644625042500003</v>
      </c>
      <c r="B24">
        <v>0.16306843904499058</v>
      </c>
      <c r="C24">
        <f t="shared" si="0"/>
        <v>0.12498516273700665</v>
      </c>
      <c r="D24">
        <f t="shared" si="1"/>
        <v>3.8083276307983929E-2</v>
      </c>
      <c r="E24">
        <f t="shared" si="2"/>
        <v>1.45033593435025E-3</v>
      </c>
    </row>
    <row r="25" spans="1:5" x14ac:dyDescent="0.25">
      <c r="A25">
        <v>2.2565659597500001</v>
      </c>
      <c r="B25">
        <v>0.14874024984020059</v>
      </c>
      <c r="C25">
        <f t="shared" si="0"/>
        <v>0.11146929328557842</v>
      </c>
      <c r="D25">
        <f t="shared" si="1"/>
        <v>3.7270956554622175E-2</v>
      </c>
      <c r="E25">
        <f t="shared" si="2"/>
        <v>1.3891242024965337E-3</v>
      </c>
    </row>
    <row r="26" spans="1:5" x14ac:dyDescent="0.25">
      <c r="A26">
        <v>2.3486694152500003</v>
      </c>
      <c r="B26">
        <v>0.12417763977484637</v>
      </c>
      <c r="C26">
        <f t="shared" si="0"/>
        <v>9.9267347925399291E-2</v>
      </c>
      <c r="D26">
        <f t="shared" si="1"/>
        <v>2.4910291849447083E-2</v>
      </c>
      <c r="E26">
        <f t="shared" si="2"/>
        <v>6.2052264002462974E-4</v>
      </c>
    </row>
    <row r="27" spans="1:5" x14ac:dyDescent="0.25">
      <c r="A27">
        <v>2.4407728707500005</v>
      </c>
      <c r="B27">
        <v>0.10916715584601878</v>
      </c>
      <c r="C27">
        <f t="shared" si="0"/>
        <v>8.8275297502208513E-2</v>
      </c>
      <c r="D27">
        <f t="shared" si="1"/>
        <v>2.0891858343810271E-2</v>
      </c>
      <c r="E27">
        <f t="shared" si="2"/>
        <v>4.3646974505783486E-4</v>
      </c>
    </row>
    <row r="28" spans="1:5" x14ac:dyDescent="0.25">
      <c r="A28">
        <v>2.5328763262500003</v>
      </c>
      <c r="B28">
        <v>9.6885850813341667E-2</v>
      </c>
      <c r="C28">
        <f t="shared" si="0"/>
        <v>7.8393201613275412E-2</v>
      </c>
      <c r="D28">
        <f t="shared" si="1"/>
        <v>1.8492649200066255E-2</v>
      </c>
      <c r="E28">
        <f t="shared" si="2"/>
        <v>3.4197807443671108E-4</v>
      </c>
    </row>
    <row r="29" spans="1:5" x14ac:dyDescent="0.25">
      <c r="A29">
        <v>2.6249797817500005</v>
      </c>
      <c r="B29">
        <v>8.8698314124890265E-2</v>
      </c>
      <c r="C29">
        <f t="shared" si="0"/>
        <v>6.9525932160200629E-2</v>
      </c>
      <c r="D29">
        <f t="shared" si="1"/>
        <v>1.9172381964689636E-2</v>
      </c>
      <c r="E29">
        <f t="shared" si="2"/>
        <v>3.6758023019995643E-4</v>
      </c>
    </row>
    <row r="30" spans="1:5" x14ac:dyDescent="0.25">
      <c r="A30">
        <v>2.7170832372499998</v>
      </c>
      <c r="B30">
        <v>7.1640946023949825E-2</v>
      </c>
      <c r="C30">
        <f t="shared" si="0"/>
        <v>6.1583644462732942E-2</v>
      </c>
      <c r="D30">
        <f t="shared" si="1"/>
        <v>1.0057301561216883E-2</v>
      </c>
      <c r="E30">
        <f t="shared" si="2"/>
        <v>1.0114931469325556E-4</v>
      </c>
    </row>
    <row r="31" spans="1:5" x14ac:dyDescent="0.25">
      <c r="A31">
        <v>2.80918669275</v>
      </c>
      <c r="B31">
        <v>6.5500293507611274E-2</v>
      </c>
      <c r="C31">
        <f t="shared" si="0"/>
        <v>5.4482048279678445E-2</v>
      </c>
      <c r="D31">
        <f t="shared" si="1"/>
        <v>1.1018245227932828E-2</v>
      </c>
      <c r="E31">
        <f t="shared" si="2"/>
        <v>1.2140172790286454E-4</v>
      </c>
    </row>
    <row r="32" spans="1:5" x14ac:dyDescent="0.25">
      <c r="A32">
        <v>2.9012901482500002</v>
      </c>
      <c r="B32">
        <v>6.3453409335498423E-2</v>
      </c>
      <c r="C32">
        <f t="shared" si="0"/>
        <v>4.8142521682483591E-2</v>
      </c>
      <c r="D32">
        <f t="shared" si="1"/>
        <v>1.5310887653014832E-2</v>
      </c>
      <c r="E32">
        <f t="shared" si="2"/>
        <v>2.3442328072324203E-4</v>
      </c>
    </row>
    <row r="33" spans="1:5" x14ac:dyDescent="0.25">
      <c r="A33">
        <v>2.99339360375</v>
      </c>
      <c r="B33">
        <v>4.4349157062445133E-2</v>
      </c>
      <c r="C33">
        <f t="shared" si="0"/>
        <v>4.2492102999249236E-2</v>
      </c>
      <c r="D33">
        <f t="shared" si="1"/>
        <v>1.8570540631958968E-3</v>
      </c>
      <c r="E33">
        <f t="shared" si="2"/>
        <v>3.4486497936323897E-6</v>
      </c>
    </row>
    <row r="34" spans="1:5" x14ac:dyDescent="0.25">
      <c r="A34">
        <v>3.0854970592499997</v>
      </c>
      <c r="B34">
        <v>3.2067852029768015E-2</v>
      </c>
      <c r="C34">
        <f t="shared" si="0"/>
        <v>3.7463389661903629E-2</v>
      </c>
      <c r="D34">
        <f t="shared" si="1"/>
        <v>-5.3955376321356135E-3</v>
      </c>
      <c r="E34">
        <f t="shared" si="2"/>
        <v>2.9111826339791582E-5</v>
      </c>
    </row>
    <row r="35" spans="1:5" x14ac:dyDescent="0.25">
      <c r="A35">
        <v>3.1776005147499999</v>
      </c>
      <c r="B35">
        <v>3.2750146753805637E-2</v>
      </c>
      <c r="C35">
        <f t="shared" si="0"/>
        <v>3.2994367495010418E-2</v>
      </c>
      <c r="D35">
        <f t="shared" si="1"/>
        <v>-2.4422074120478143E-4</v>
      </c>
      <c r="E35">
        <f t="shared" si="2"/>
        <v>5.9643770434612831E-8</v>
      </c>
    </row>
    <row r="36" spans="1:5" x14ac:dyDescent="0.25">
      <c r="A36">
        <v>3.2697039702500001</v>
      </c>
      <c r="B36">
        <v>2.1151136445166141E-2</v>
      </c>
      <c r="C36">
        <f t="shared" si="0"/>
        <v>2.9028189585192703E-2</v>
      </c>
      <c r="D36">
        <f t="shared" si="1"/>
        <v>-7.8770531400265617E-3</v>
      </c>
      <c r="E36">
        <f t="shared" si="2"/>
        <v>6.204796617080231E-5</v>
      </c>
    </row>
    <row r="37" spans="1:5" x14ac:dyDescent="0.25">
      <c r="A37">
        <v>3.3618074257500004</v>
      </c>
      <c r="B37">
        <v>2.388031534131661E-2</v>
      </c>
      <c r="C37">
        <f t="shared" si="0"/>
        <v>2.5512920210392764E-2</v>
      </c>
      <c r="D37">
        <f t="shared" si="1"/>
        <v>-1.6326048690761541E-3</v>
      </c>
      <c r="E37">
        <f t="shared" si="2"/>
        <v>2.6653986585311662E-6</v>
      </c>
    </row>
    <row r="38" spans="1:5" x14ac:dyDescent="0.25">
      <c r="A38">
        <v>3.4539108812500001</v>
      </c>
      <c r="B38">
        <v>1.2281305032677114E-2</v>
      </c>
      <c r="C38">
        <f t="shared" si="0"/>
        <v>2.2401256263752688E-2</v>
      </c>
      <c r="D38">
        <f t="shared" si="1"/>
        <v>-1.0119951231075574E-2</v>
      </c>
      <c r="E38">
        <f t="shared" si="2"/>
        <v>1.0241341291934803E-4</v>
      </c>
    </row>
    <row r="39" spans="1:5" x14ac:dyDescent="0.25">
      <c r="A39">
        <v>3.5460143367499999</v>
      </c>
      <c r="B39">
        <v>4.7760630682633217E-3</v>
      </c>
      <c r="C39">
        <f t="shared" si="0"/>
        <v>1.965023607668602E-2</v>
      </c>
      <c r="D39">
        <f t="shared" si="1"/>
        <v>-1.4874173008422698E-2</v>
      </c>
      <c r="E39">
        <f t="shared" si="2"/>
        <v>2.2124102268449033E-4</v>
      </c>
    </row>
    <row r="40" spans="1:5" x14ac:dyDescent="0.25">
      <c r="A40">
        <v>3.6381177922500001</v>
      </c>
      <c r="B40">
        <v>6.8229472403761747E-4</v>
      </c>
      <c r="C40">
        <f t="shared" si="0"/>
        <v>1.7220943446626918E-2</v>
      </c>
      <c r="D40">
        <f t="shared" si="1"/>
        <v>-1.65386487225893E-2</v>
      </c>
      <c r="E40">
        <f t="shared" si="2"/>
        <v>2.7352690156920472E-4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A9D8-AD4E-4FCB-A190-C87C4D1A961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4.8100130700000007E-2</v>
      </c>
      <c r="B1">
        <v>0.36562854665250361</v>
      </c>
      <c r="C1">
        <f>$H$3*(1+$H$1)*(A1^($H$1))*EXP(-$H$3*(A1^(1+$H$1)))</f>
        <v>0.49240090470933068</v>
      </c>
      <c r="D1">
        <f>B1-C1</f>
        <v>-0.12677235805682707</v>
      </c>
      <c r="E1">
        <f>D1^2</f>
        <v>1.6071230767288367E-2</v>
      </c>
      <c r="G1" t="s">
        <v>0</v>
      </c>
      <c r="H1">
        <v>0.27570574825731892</v>
      </c>
    </row>
    <row r="2" spans="1:8" x14ac:dyDescent="0.25">
      <c r="A2">
        <v>0.13902670010000001</v>
      </c>
      <c r="B2">
        <v>0.44234833621474912</v>
      </c>
      <c r="C2">
        <f t="shared" ref="C2:C40" si="0">$H$3*(1+$H$1)*(A2^($H$1))*EXP(-$H$3*(A2^(1+$H$1)))</f>
        <v>0.62488338753658268</v>
      </c>
      <c r="D2">
        <f t="shared" ref="D2:D40" si="1">B2-C2</f>
        <v>-0.18253505132183356</v>
      </c>
      <c r="E2">
        <f t="shared" ref="E2:E40" si="2">D2^2</f>
        <v>3.3319044961064415E-2</v>
      </c>
    </row>
    <row r="3" spans="1:8" x14ac:dyDescent="0.25">
      <c r="A3">
        <v>0.22995326950000006</v>
      </c>
      <c r="B3">
        <v>1.0533419756113713</v>
      </c>
      <c r="C3">
        <f t="shared" si="0"/>
        <v>0.67205494863452186</v>
      </c>
      <c r="D3">
        <f t="shared" si="1"/>
        <v>0.38128702697684946</v>
      </c>
      <c r="E3">
        <f t="shared" si="2"/>
        <v>0.14537979694084474</v>
      </c>
      <c r="G3" t="s">
        <v>1</v>
      </c>
      <c r="H3">
        <f>(_xlfn.GAMMA((2+$H$1)/(1+$H$1)))^(1+$H$1)</f>
        <v>0.90808234582989422</v>
      </c>
    </row>
    <row r="4" spans="1:8" x14ac:dyDescent="0.25">
      <c r="A4">
        <v>0.32087983890000005</v>
      </c>
      <c r="B4">
        <v>0.77963894257849531</v>
      </c>
      <c r="C4">
        <f t="shared" si="0"/>
        <v>0.68433733613580849</v>
      </c>
      <c r="D4">
        <f t="shared" si="1"/>
        <v>9.5301606442686815E-2</v>
      </c>
      <c r="E4">
        <f t="shared" si="2"/>
        <v>9.0823961905567643E-3</v>
      </c>
    </row>
    <row r="5" spans="1:8" x14ac:dyDescent="0.25">
      <c r="A5">
        <v>0.41180640830000004</v>
      </c>
      <c r="B5">
        <v>0.65315496519209049</v>
      </c>
      <c r="C5">
        <f t="shared" si="0"/>
        <v>0.67682801758137034</v>
      </c>
      <c r="D5">
        <f t="shared" si="1"/>
        <v>-2.3673052389279858E-2</v>
      </c>
      <c r="E5">
        <f t="shared" si="2"/>
        <v>5.6041340942558876E-4</v>
      </c>
      <c r="G5" t="s">
        <v>2</v>
      </c>
      <c r="H5">
        <f>SUM(E1:E40)</f>
        <v>0.23817321942153133</v>
      </c>
    </row>
    <row r="6" spans="1:8" x14ac:dyDescent="0.25">
      <c r="A6">
        <v>0.50273297770000003</v>
      </c>
      <c r="B6">
        <v>0.58611154548454258</v>
      </c>
      <c r="C6">
        <f t="shared" si="0"/>
        <v>0.65691632978822723</v>
      </c>
      <c r="D6">
        <f t="shared" si="1"/>
        <v>-7.0804784303684642E-2</v>
      </c>
      <c r="E6">
        <f t="shared" si="2"/>
        <v>5.0133174802913074E-3</v>
      </c>
    </row>
    <row r="7" spans="1:8" x14ac:dyDescent="0.25">
      <c r="A7">
        <v>0.59365954710000002</v>
      </c>
      <c r="B7">
        <v>0.57781751418051608</v>
      </c>
      <c r="C7">
        <f t="shared" si="0"/>
        <v>0.62902193552007413</v>
      </c>
      <c r="D7">
        <f t="shared" si="1"/>
        <v>-5.1204421339558048E-2</v>
      </c>
      <c r="E7">
        <f t="shared" si="2"/>
        <v>2.6218927647189876E-3</v>
      </c>
    </row>
    <row r="8" spans="1:8" x14ac:dyDescent="0.25">
      <c r="A8">
        <v>0.68458611650000001</v>
      </c>
      <c r="B8">
        <v>0.53911203476172553</v>
      </c>
      <c r="C8">
        <f t="shared" si="0"/>
        <v>0.59607645184512803</v>
      </c>
      <c r="D8">
        <f t="shared" si="1"/>
        <v>-5.6964417083402497E-2</v>
      </c>
      <c r="E8">
        <f t="shared" si="2"/>
        <v>3.2449448136518382E-3</v>
      </c>
    </row>
    <row r="9" spans="1:8" x14ac:dyDescent="0.25">
      <c r="A9">
        <v>0.77551268590000011</v>
      </c>
      <c r="B9">
        <v>0.51975929505233021</v>
      </c>
      <c r="C9">
        <f t="shared" si="0"/>
        <v>0.56013822457106333</v>
      </c>
      <c r="D9">
        <f t="shared" si="1"/>
        <v>-4.037892951873312E-2</v>
      </c>
      <c r="E9">
        <f t="shared" si="2"/>
        <v>1.6304579490788169E-3</v>
      </c>
    </row>
    <row r="10" spans="1:8" x14ac:dyDescent="0.25">
      <c r="A10">
        <v>0.86643925529999999</v>
      </c>
      <c r="B10">
        <v>0.44926002896810457</v>
      </c>
      <c r="C10">
        <f t="shared" si="0"/>
        <v>0.52269744667339435</v>
      </c>
      <c r="D10">
        <f t="shared" si="1"/>
        <v>-7.3437417705289776E-2</v>
      </c>
      <c r="E10">
        <f t="shared" si="2"/>
        <v>5.3930543192212081E-3</v>
      </c>
    </row>
    <row r="11" spans="1:8" x14ac:dyDescent="0.25">
      <c r="A11">
        <v>0.95736582470000009</v>
      </c>
      <c r="B11">
        <v>0.45064236751877568</v>
      </c>
      <c r="C11">
        <f t="shared" si="0"/>
        <v>0.48484823370610874</v>
      </c>
      <c r="D11">
        <f t="shared" si="1"/>
        <v>-3.4205866187333067E-2</v>
      </c>
      <c r="E11">
        <f t="shared" si="2"/>
        <v>1.1700412816257357E-3</v>
      </c>
    </row>
    <row r="12" spans="1:8" x14ac:dyDescent="0.25">
      <c r="A12">
        <v>1.0482923941000002</v>
      </c>
      <c r="B12">
        <v>0.4084810417233074</v>
      </c>
      <c r="C12">
        <f t="shared" si="0"/>
        <v>0.44739548319020506</v>
      </c>
      <c r="D12">
        <f t="shared" si="1"/>
        <v>-3.8914441466897653E-2</v>
      </c>
      <c r="E12">
        <f t="shared" si="2"/>
        <v>1.5143337546806037E-3</v>
      </c>
    </row>
    <row r="13" spans="1:8" x14ac:dyDescent="0.25">
      <c r="A13">
        <v>1.1392189635000001</v>
      </c>
      <c r="B13">
        <v>0.41055454954931403</v>
      </c>
      <c r="C13">
        <f t="shared" si="0"/>
        <v>0.41092633206070989</v>
      </c>
      <c r="D13">
        <f t="shared" si="1"/>
        <v>-3.7178251139585727E-4</v>
      </c>
      <c r="E13">
        <f t="shared" si="2"/>
        <v>1.3822223577981076E-7</v>
      </c>
    </row>
    <row r="14" spans="1:8" x14ac:dyDescent="0.25">
      <c r="A14">
        <v>1.2301455328999999</v>
      </c>
      <c r="B14">
        <v>0.35456983824713484</v>
      </c>
      <c r="C14">
        <f t="shared" si="0"/>
        <v>0.37586072815864036</v>
      </c>
      <c r="D14">
        <f t="shared" si="1"/>
        <v>-2.1290889911505517E-2</v>
      </c>
      <c r="E14">
        <f t="shared" si="2"/>
        <v>4.5330199322384744E-4</v>
      </c>
    </row>
    <row r="15" spans="1:8" x14ac:dyDescent="0.25">
      <c r="A15">
        <v>1.3210721023000001</v>
      </c>
      <c r="B15">
        <v>0.32830540578438411</v>
      </c>
      <c r="C15">
        <f t="shared" si="0"/>
        <v>0.34248878663345117</v>
      </c>
      <c r="D15">
        <f t="shared" si="1"/>
        <v>-1.4183380849067062E-2</v>
      </c>
      <c r="E15">
        <f t="shared" si="2"/>
        <v>2.0116829230968229E-4</v>
      </c>
    </row>
    <row r="16" spans="1:8" x14ac:dyDescent="0.25">
      <c r="A16">
        <v>1.4119986717000002</v>
      </c>
      <c r="B16">
        <v>0.30687915824898221</v>
      </c>
      <c r="C16">
        <f t="shared" si="0"/>
        <v>0.31099927343596201</v>
      </c>
      <c r="D16">
        <f t="shared" si="1"/>
        <v>-4.1201151869798003E-3</v>
      </c>
      <c r="E16">
        <f t="shared" si="2"/>
        <v>1.6975349153981595E-5</v>
      </c>
    </row>
    <row r="17" spans="1:5" x14ac:dyDescent="0.25">
      <c r="A17">
        <v>1.5029252411000003</v>
      </c>
      <c r="B17">
        <v>0.2958204498436135</v>
      </c>
      <c r="C17">
        <f t="shared" si="0"/>
        <v>0.28150182583351807</v>
      </c>
      <c r="D17">
        <f t="shared" si="1"/>
        <v>1.4318624010095427E-2</v>
      </c>
      <c r="E17">
        <f t="shared" si="2"/>
        <v>2.0502299354248124E-4</v>
      </c>
    </row>
    <row r="18" spans="1:5" x14ac:dyDescent="0.25">
      <c r="A18">
        <v>1.5938518104999999</v>
      </c>
      <c r="B18">
        <v>0.29858512694495565</v>
      </c>
      <c r="C18">
        <f t="shared" si="0"/>
        <v>0.25404456540673098</v>
      </c>
      <c r="D18">
        <f t="shared" si="1"/>
        <v>4.4540561538224666E-2</v>
      </c>
      <c r="E18">
        <f t="shared" si="2"/>
        <v>1.9838616221403782E-3</v>
      </c>
    </row>
    <row r="19" spans="1:5" x14ac:dyDescent="0.25">
      <c r="A19">
        <v>1.6847783799</v>
      </c>
      <c r="B19">
        <v>0.23015936868673667</v>
      </c>
      <c r="C19">
        <f t="shared" si="0"/>
        <v>0.22862820620941407</v>
      </c>
      <c r="D19">
        <f t="shared" si="1"/>
        <v>1.5311624773226007E-3</v>
      </c>
      <c r="E19">
        <f t="shared" si="2"/>
        <v>2.3444585319606838E-6</v>
      </c>
    </row>
    <row r="20" spans="1:5" x14ac:dyDescent="0.25">
      <c r="A20">
        <v>1.7757049493000001</v>
      </c>
      <c r="B20">
        <v>0.22877703013606557</v>
      </c>
      <c r="C20">
        <f t="shared" si="0"/>
        <v>0.20521742593149453</v>
      </c>
      <c r="D20">
        <f t="shared" si="1"/>
        <v>2.3559604204571039E-2</v>
      </c>
      <c r="E20">
        <f t="shared" si="2"/>
        <v>5.5505495027604137E-4</v>
      </c>
    </row>
    <row r="21" spans="1:5" x14ac:dyDescent="0.25">
      <c r="A21">
        <v>1.8666315187000002</v>
      </c>
      <c r="B21">
        <v>0.20735078260066367</v>
      </c>
      <c r="C21">
        <f t="shared" si="0"/>
        <v>0.18375005643431022</v>
      </c>
      <c r="D21">
        <f t="shared" si="1"/>
        <v>2.3600726166353447E-2</v>
      </c>
      <c r="E21">
        <f t="shared" si="2"/>
        <v>5.569942755792003E-4</v>
      </c>
    </row>
    <row r="22" spans="1:5" x14ac:dyDescent="0.25">
      <c r="A22">
        <v>1.9575580881000003</v>
      </c>
      <c r="B22">
        <v>0.21495364462935465</v>
      </c>
      <c r="C22">
        <f t="shared" si="0"/>
        <v>0.16414451106995653</v>
      </c>
      <c r="D22">
        <f t="shared" si="1"/>
        <v>5.0809133559398117E-2</v>
      </c>
      <c r="E22">
        <f t="shared" si="2"/>
        <v>2.5815680530567558E-3</v>
      </c>
    </row>
    <row r="23" spans="1:5" x14ac:dyDescent="0.25">
      <c r="A23">
        <v>2.0484846575000004</v>
      </c>
      <c r="B23">
        <v>0.16588062608053092</v>
      </c>
      <c r="C23">
        <f t="shared" si="0"/>
        <v>0.14630577133956843</v>
      </c>
      <c r="D23">
        <f t="shared" si="1"/>
        <v>1.9574854740962488E-2</v>
      </c>
      <c r="E23">
        <f t="shared" si="2"/>
        <v>3.8317493812978161E-4</v>
      </c>
    </row>
    <row r="24" spans="1:5" x14ac:dyDescent="0.25">
      <c r="A24">
        <v>2.1394112269000001</v>
      </c>
      <c r="B24">
        <v>0.1714099802832153</v>
      </c>
      <c r="C24">
        <f t="shared" si="0"/>
        <v>0.1301301882838059</v>
      </c>
      <c r="D24">
        <f t="shared" si="1"/>
        <v>4.1279791999409399E-2</v>
      </c>
      <c r="E24">
        <f t="shared" si="2"/>
        <v>1.7040212275145042E-3</v>
      </c>
    </row>
    <row r="25" spans="1:5" x14ac:dyDescent="0.25">
      <c r="A25">
        <v>2.2303377963000006</v>
      </c>
      <c r="B25">
        <v>0.13892502434244466</v>
      </c>
      <c r="C25">
        <f t="shared" si="0"/>
        <v>0.11550930477770302</v>
      </c>
      <c r="D25">
        <f t="shared" si="1"/>
        <v>2.3415719564741644E-2</v>
      </c>
      <c r="E25">
        <f t="shared" si="2"/>
        <v>5.4829592273462457E-4</v>
      </c>
    </row>
    <row r="26" spans="1:5" x14ac:dyDescent="0.25">
      <c r="A26">
        <v>2.3212643657000003</v>
      </c>
      <c r="B26">
        <v>0.13132216231375365</v>
      </c>
      <c r="C26">
        <f t="shared" si="0"/>
        <v>0.10233286766617671</v>
      </c>
      <c r="D26">
        <f t="shared" si="1"/>
        <v>2.8989294647576949E-2</v>
      </c>
      <c r="E26">
        <f t="shared" si="2"/>
        <v>8.4037920416403359E-4</v>
      </c>
    </row>
    <row r="27" spans="1:5" x14ac:dyDescent="0.25">
      <c r="A27">
        <v>2.4121909350999999</v>
      </c>
      <c r="B27">
        <v>0.12371930028506264</v>
      </c>
      <c r="C27">
        <f t="shared" si="0"/>
        <v>9.0491169699979668E-2</v>
      </c>
      <c r="D27">
        <f t="shared" si="1"/>
        <v>3.3228130585082977E-2</v>
      </c>
      <c r="E27">
        <f t="shared" si="2"/>
        <v>1.1041086621793267E-3</v>
      </c>
    </row>
    <row r="28" spans="1:5" x14ac:dyDescent="0.25">
      <c r="A28">
        <v>2.5031175045</v>
      </c>
      <c r="B28">
        <v>0.10160188347432519</v>
      </c>
      <c r="C28">
        <f t="shared" si="0"/>
        <v>7.9876838128351488E-2</v>
      </c>
      <c r="D28">
        <f t="shared" si="1"/>
        <v>2.1725045345973706E-2</v>
      </c>
      <c r="E28">
        <f t="shared" si="2"/>
        <v>4.7197759528461381E-4</v>
      </c>
    </row>
    <row r="29" spans="1:5" x14ac:dyDescent="0.25">
      <c r="A29">
        <v>2.5940440739000001</v>
      </c>
      <c r="B29">
        <v>7.5337451011574463E-2</v>
      </c>
      <c r="C29">
        <f t="shared" si="0"/>
        <v>7.0386168009487521E-2</v>
      </c>
      <c r="D29">
        <f t="shared" si="1"/>
        <v>4.9512830020869425E-3</v>
      </c>
      <c r="E29">
        <f t="shared" si="2"/>
        <v>2.4515203366755085E-5</v>
      </c>
    </row>
    <row r="30" spans="1:5" x14ac:dyDescent="0.25">
      <c r="A30">
        <v>2.6849706432999998</v>
      </c>
      <c r="B30">
        <v>7.3955112460903374E-2</v>
      </c>
      <c r="C30">
        <f t="shared" si="0"/>
        <v>6.1920082762681704E-2</v>
      </c>
      <c r="D30">
        <f t="shared" si="1"/>
        <v>1.2035029698221671E-2</v>
      </c>
      <c r="E30">
        <f t="shared" si="2"/>
        <v>1.4484193983707759E-4</v>
      </c>
    </row>
    <row r="31" spans="1:5" x14ac:dyDescent="0.25">
      <c r="A31">
        <v>2.7758972127000003</v>
      </c>
      <c r="B31">
        <v>7.6719789562245552E-2</v>
      </c>
      <c r="C31">
        <f t="shared" si="0"/>
        <v>5.4384791483082486E-2</v>
      </c>
      <c r="D31">
        <f t="shared" si="1"/>
        <v>2.2334998079163067E-2</v>
      </c>
      <c r="E31">
        <f t="shared" si="2"/>
        <v>4.9885213919621785E-4</v>
      </c>
    </row>
    <row r="32" spans="1:5" x14ac:dyDescent="0.25">
      <c r="A32">
        <v>2.8668237821</v>
      </c>
      <c r="B32">
        <v>6.3587573330870187E-2</v>
      </c>
      <c r="C32">
        <f t="shared" si="0"/>
        <v>4.7692201559664582E-2</v>
      </c>
      <c r="D32">
        <f t="shared" si="1"/>
        <v>1.5895371771205605E-2</v>
      </c>
      <c r="E32">
        <f t="shared" si="2"/>
        <v>2.5266284374484001E-4</v>
      </c>
    </row>
    <row r="33" spans="1:5" x14ac:dyDescent="0.25">
      <c r="A33">
        <v>2.9577503515000001</v>
      </c>
      <c r="B33">
        <v>3.9396648694126096E-2</v>
      </c>
      <c r="C33">
        <f t="shared" si="0"/>
        <v>4.1760135806801046E-2</v>
      </c>
      <c r="D33">
        <f t="shared" si="1"/>
        <v>-2.3634871126749502E-3</v>
      </c>
      <c r="E33">
        <f t="shared" si="2"/>
        <v>5.5860713317805723E-6</v>
      </c>
    </row>
    <row r="34" spans="1:5" x14ac:dyDescent="0.25">
      <c r="A34">
        <v>3.0486769209000002</v>
      </c>
      <c r="B34">
        <v>4.0778987244797185E-2</v>
      </c>
      <c r="C34">
        <f t="shared" si="0"/>
        <v>3.6512395360613292E-2</v>
      </c>
      <c r="D34">
        <f t="shared" si="1"/>
        <v>4.2665918841838929E-3</v>
      </c>
      <c r="E34">
        <f t="shared" si="2"/>
        <v>1.820380630618386E-5</v>
      </c>
    </row>
    <row r="35" spans="1:5" x14ac:dyDescent="0.25">
      <c r="A35">
        <v>3.1396034903000003</v>
      </c>
      <c r="B35">
        <v>3.5249633042112823E-2</v>
      </c>
      <c r="C35">
        <f t="shared" si="0"/>
        <v>3.1878702787727024E-2</v>
      </c>
      <c r="D35">
        <f t="shared" si="1"/>
        <v>3.3709302543857983E-3</v>
      </c>
      <c r="E35">
        <f t="shared" si="2"/>
        <v>1.1363170779933502E-5</v>
      </c>
    </row>
    <row r="36" spans="1:5" x14ac:dyDescent="0.25">
      <c r="A36">
        <v>3.2305300597000004</v>
      </c>
      <c r="B36">
        <v>2.2808586086073002E-2</v>
      </c>
      <c r="C36">
        <f t="shared" si="0"/>
        <v>2.7794554035312516E-2</v>
      </c>
      <c r="D36">
        <f t="shared" si="1"/>
        <v>-4.9859679492395143E-3</v>
      </c>
      <c r="E36">
        <f t="shared" si="2"/>
        <v>2.4859876390843689E-5</v>
      </c>
    </row>
    <row r="37" spans="1:5" x14ac:dyDescent="0.25">
      <c r="A37">
        <v>3.3214566291000001</v>
      </c>
      <c r="B37">
        <v>1.7279231883388639E-2</v>
      </c>
      <c r="C37">
        <f t="shared" si="0"/>
        <v>2.4201002878332326E-2</v>
      </c>
      <c r="D37">
        <f t="shared" si="1"/>
        <v>-6.9217709949436872E-3</v>
      </c>
      <c r="E37">
        <f t="shared" si="2"/>
        <v>4.7910913706443724E-5</v>
      </c>
    </row>
    <row r="38" spans="1:5" x14ac:dyDescent="0.25">
      <c r="A38">
        <v>3.4123831985000002</v>
      </c>
      <c r="B38">
        <v>1.6588062608053091E-2</v>
      </c>
      <c r="C38">
        <f t="shared" si="0"/>
        <v>2.1044397277159586E-2</v>
      </c>
      <c r="D38">
        <f t="shared" si="1"/>
        <v>-4.4563346691064952E-3</v>
      </c>
      <c r="E38">
        <f t="shared" si="2"/>
        <v>1.9858918683080498E-5</v>
      </c>
    </row>
    <row r="39" spans="1:5" x14ac:dyDescent="0.25">
      <c r="A39">
        <v>3.5033097679000003</v>
      </c>
      <c r="B39">
        <v>1.3823385506710911E-3</v>
      </c>
      <c r="C39">
        <f t="shared" si="0"/>
        <v>1.8276083448318086E-2</v>
      </c>
      <c r="D39">
        <f t="shared" si="1"/>
        <v>-1.6893744897646994E-2</v>
      </c>
      <c r="E39">
        <f t="shared" si="2"/>
        <v>2.8539861666677382E-4</v>
      </c>
    </row>
    <row r="40" spans="1:5" x14ac:dyDescent="0.25">
      <c r="A40">
        <v>3.5942363372999999</v>
      </c>
      <c r="B40">
        <v>6.9116927533554554E-4</v>
      </c>
      <c r="C40">
        <f t="shared" si="0"/>
        <v>1.5852090389044234E-2</v>
      </c>
      <c r="D40">
        <f t="shared" si="1"/>
        <v>-1.5160921113708687E-2</v>
      </c>
      <c r="E40">
        <f t="shared" si="2"/>
        <v>2.2985352901609788E-4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2D37-0291-499B-A51E-5492BB6337D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4.9501658137499994E-2</v>
      </c>
      <c r="B1">
        <v>0.32206472920977219</v>
      </c>
      <c r="C1">
        <f>$H$3*(1+$H$1)*(A1^($H$1))*EXP(-$H$3*(A1^(1+$H$1)))</f>
        <v>0.42141413868153016</v>
      </c>
      <c r="D1">
        <f>B1-C1</f>
        <v>-9.9349409471757966E-2</v>
      </c>
      <c r="E1">
        <f>D1^2</f>
        <v>9.870305162387032E-3</v>
      </c>
      <c r="G1" t="s">
        <v>0</v>
      </c>
      <c r="H1">
        <v>0.34187253838318227</v>
      </c>
    </row>
    <row r="2" spans="1:8" x14ac:dyDescent="0.25">
      <c r="A2">
        <v>0.1388728484125</v>
      </c>
      <c r="B2">
        <v>0.40785489725254997</v>
      </c>
      <c r="C2">
        <f t="shared" ref="C2:C40" si="0">$H$3*(1+$H$1)*(A2^($H$1))*EXP(-$H$3*(A2^(1+$H$1)))</f>
        <v>0.57193574924845481</v>
      </c>
      <c r="D2">
        <f t="shared" ref="D2:D40" si="1">B2-C2</f>
        <v>-0.16408085199590483</v>
      </c>
      <c r="E2">
        <f t="shared" ref="E2:E40" si="2">D2^2</f>
        <v>2.6922525991702025E-2</v>
      </c>
    </row>
    <row r="3" spans="1:8" x14ac:dyDescent="0.25">
      <c r="A3">
        <v>0.22824403868749998</v>
      </c>
      <c r="B3">
        <v>0.62092392116207173</v>
      </c>
      <c r="C3">
        <f t="shared" si="0"/>
        <v>0.63850825253682686</v>
      </c>
      <c r="D3">
        <f t="shared" si="1"/>
        <v>-1.7584331374755124E-2</v>
      </c>
      <c r="E3">
        <f t="shared" si="2"/>
        <v>3.0920870989719745E-4</v>
      </c>
      <c r="G3" t="s">
        <v>1</v>
      </c>
      <c r="H3">
        <f>(_xlfn.GAMMA((2+$H$1)/(1+$H$1)))^(1+$H$1)</f>
        <v>0.89151878705460952</v>
      </c>
    </row>
    <row r="4" spans="1:8" x14ac:dyDescent="0.25">
      <c r="A4">
        <v>0.31761522896249994</v>
      </c>
      <c r="B4">
        <v>1.0625323271527638</v>
      </c>
      <c r="C4">
        <f t="shared" si="0"/>
        <v>0.66752743241530532</v>
      </c>
      <c r="D4">
        <f t="shared" si="1"/>
        <v>0.39500489473745848</v>
      </c>
      <c r="E4">
        <f t="shared" si="2"/>
        <v>0.15602886686655065</v>
      </c>
    </row>
    <row r="5" spans="1:8" x14ac:dyDescent="0.25">
      <c r="A5">
        <v>0.40698641923750001</v>
      </c>
      <c r="B5">
        <v>0.76507953139788687</v>
      </c>
      <c r="C5">
        <f t="shared" si="0"/>
        <v>0.67372795527041185</v>
      </c>
      <c r="D5">
        <f t="shared" si="1"/>
        <v>9.135157612747502E-2</v>
      </c>
      <c r="E5">
        <f t="shared" si="2"/>
        <v>8.3451104609738643E-3</v>
      </c>
      <c r="G5" t="s">
        <v>2</v>
      </c>
      <c r="H5">
        <f>SUM(E1:E40)</f>
        <v>0.23774121351967664</v>
      </c>
    </row>
    <row r="6" spans="1:8" x14ac:dyDescent="0.25">
      <c r="A6">
        <v>0.49635760951249996</v>
      </c>
      <c r="B6">
        <v>0.67507017476284126</v>
      </c>
      <c r="C6">
        <f t="shared" si="0"/>
        <v>0.664641129004235</v>
      </c>
      <c r="D6">
        <f t="shared" si="1"/>
        <v>1.0429045758606259E-2</v>
      </c>
      <c r="E6">
        <f t="shared" si="2"/>
        <v>1.0876499543510321E-4</v>
      </c>
    </row>
    <row r="7" spans="1:8" x14ac:dyDescent="0.25">
      <c r="A7">
        <v>0.58572879978750003</v>
      </c>
      <c r="B7">
        <v>0.5787320352393942</v>
      </c>
      <c r="C7">
        <f t="shared" si="0"/>
        <v>0.64497138791897402</v>
      </c>
      <c r="D7">
        <f t="shared" si="1"/>
        <v>-6.623935267957981E-2</v>
      </c>
      <c r="E7">
        <f t="shared" si="2"/>
        <v>4.3876518434097572E-3</v>
      </c>
    </row>
    <row r="8" spans="1:8" x14ac:dyDescent="0.25">
      <c r="A8">
        <v>0.67509999006249999</v>
      </c>
      <c r="B8">
        <v>0.5787320352393942</v>
      </c>
      <c r="C8">
        <f t="shared" si="0"/>
        <v>0.61798025370361986</v>
      </c>
      <c r="D8">
        <f t="shared" si="1"/>
        <v>-3.9248218464225659E-2</v>
      </c>
      <c r="E8">
        <f t="shared" si="2"/>
        <v>1.540422652615584E-3</v>
      </c>
    </row>
    <row r="9" spans="1:8" x14ac:dyDescent="0.25">
      <c r="A9">
        <v>0.76447118033749994</v>
      </c>
      <c r="B9">
        <v>0.53232096072444879</v>
      </c>
      <c r="C9">
        <f t="shared" si="0"/>
        <v>0.58606180730872337</v>
      </c>
      <c r="D9">
        <f t="shared" si="1"/>
        <v>-5.3740846584274582E-2</v>
      </c>
      <c r="E9">
        <f t="shared" si="2"/>
        <v>2.8880785915945369E-3</v>
      </c>
    </row>
    <row r="10" spans="1:8" x14ac:dyDescent="0.25">
      <c r="A10">
        <v>0.85384237061250001</v>
      </c>
      <c r="B10">
        <v>0.4838002919133696</v>
      </c>
      <c r="C10">
        <f t="shared" si="0"/>
        <v>0.55102839995283137</v>
      </c>
      <c r="D10">
        <f t="shared" si="1"/>
        <v>-6.7228108039461776E-2</v>
      </c>
      <c r="E10">
        <f t="shared" si="2"/>
        <v>4.5196185105655451E-3</v>
      </c>
    </row>
    <row r="11" spans="1:8" x14ac:dyDescent="0.25">
      <c r="A11">
        <v>0.94321356088750008</v>
      </c>
      <c r="B11">
        <v>0.44020200979326946</v>
      </c>
      <c r="C11">
        <f t="shared" si="0"/>
        <v>0.51427239457822249</v>
      </c>
      <c r="D11">
        <f t="shared" si="1"/>
        <v>-7.4070384784953036E-2</v>
      </c>
      <c r="E11">
        <f t="shared" si="2"/>
        <v>5.4864219021910025E-3</v>
      </c>
    </row>
    <row r="12" spans="1:8" x14ac:dyDescent="0.25">
      <c r="A12">
        <v>1.0325847511625001</v>
      </c>
      <c r="B12">
        <v>0.42895084021388874</v>
      </c>
      <c r="C12">
        <f t="shared" si="0"/>
        <v>0.47686769656643224</v>
      </c>
      <c r="D12">
        <f t="shared" si="1"/>
        <v>-4.7916856352543502E-2</v>
      </c>
      <c r="E12">
        <f t="shared" si="2"/>
        <v>2.2960251227102887E-3</v>
      </c>
    </row>
    <row r="13" spans="1:8" x14ac:dyDescent="0.25">
      <c r="A13">
        <v>1.1219559414375</v>
      </c>
      <c r="B13">
        <v>0.42262205732548713</v>
      </c>
      <c r="C13">
        <f t="shared" si="0"/>
        <v>0.43963896595888913</v>
      </c>
      <c r="D13">
        <f t="shared" si="1"/>
        <v>-1.7016908633401995E-2</v>
      </c>
      <c r="E13">
        <f t="shared" si="2"/>
        <v>2.8957517943755133E-4</v>
      </c>
    </row>
    <row r="14" spans="1:8" x14ac:dyDescent="0.25">
      <c r="A14">
        <v>1.2113271317124998</v>
      </c>
      <c r="B14">
        <v>0.38464935999507727</v>
      </c>
      <c r="C14">
        <f t="shared" si="0"/>
        <v>0.40321194630788137</v>
      </c>
      <c r="D14">
        <f t="shared" si="1"/>
        <v>-1.8562586312804108E-2</v>
      </c>
      <c r="E14">
        <f t="shared" si="2"/>
        <v>3.445696106203024E-4</v>
      </c>
    </row>
    <row r="15" spans="1:8" x14ac:dyDescent="0.25">
      <c r="A15">
        <v>1.3006983219874999</v>
      </c>
      <c r="B15">
        <v>0.33120630449301902</v>
      </c>
      <c r="C15">
        <f t="shared" si="0"/>
        <v>0.36805189499861324</v>
      </c>
      <c r="D15">
        <f t="shared" si="1"/>
        <v>-3.6845590505594217E-2</v>
      </c>
      <c r="E15">
        <f t="shared" si="2"/>
        <v>1.3575975397059348E-3</v>
      </c>
    </row>
    <row r="16" spans="1:8" x14ac:dyDescent="0.25">
      <c r="A16">
        <v>1.3900695122625</v>
      </c>
      <c r="B16">
        <v>0.30378157864327859</v>
      </c>
      <c r="C16">
        <f t="shared" si="0"/>
        <v>0.33449398784619444</v>
      </c>
      <c r="D16">
        <f t="shared" si="1"/>
        <v>-3.0712409202915847E-2</v>
      </c>
      <c r="E16">
        <f t="shared" si="2"/>
        <v>9.4325207904735005E-4</v>
      </c>
    </row>
    <row r="17" spans="1:5" x14ac:dyDescent="0.25">
      <c r="A17">
        <v>1.4794407025375</v>
      </c>
      <c r="B17">
        <v>0.30167198434714471</v>
      </c>
      <c r="C17">
        <f t="shared" si="0"/>
        <v>0.30276797329224703</v>
      </c>
      <c r="D17">
        <f t="shared" si="1"/>
        <v>-1.0959889451023219E-3</v>
      </c>
      <c r="E17">
        <f t="shared" si="2"/>
        <v>1.2011917677865005E-6</v>
      </c>
    </row>
    <row r="18" spans="1:5" x14ac:dyDescent="0.25">
      <c r="A18">
        <v>1.5688118928124999</v>
      </c>
      <c r="B18">
        <v>0.31081355963039153</v>
      </c>
      <c r="C18">
        <f t="shared" si="0"/>
        <v>0.27301848893856934</v>
      </c>
      <c r="D18">
        <f t="shared" si="1"/>
        <v>3.7795070691822197E-2</v>
      </c>
      <c r="E18">
        <f t="shared" si="2"/>
        <v>1.4284673685998372E-3</v>
      </c>
    </row>
    <row r="19" spans="1:5" x14ac:dyDescent="0.25">
      <c r="A19">
        <v>1.6581830830874997</v>
      </c>
      <c r="B19">
        <v>0.25104172123993163</v>
      </c>
      <c r="C19">
        <f t="shared" si="0"/>
        <v>0.24532196694785491</v>
      </c>
      <c r="D19">
        <f t="shared" si="1"/>
        <v>5.7197542920767175E-3</v>
      </c>
      <c r="E19">
        <f t="shared" si="2"/>
        <v>3.271558916173003E-5</v>
      </c>
    </row>
    <row r="20" spans="1:5" x14ac:dyDescent="0.25">
      <c r="A20">
        <v>1.7475542733624998</v>
      </c>
      <c r="B20">
        <v>0.21166262771209921</v>
      </c>
      <c r="C20">
        <f t="shared" si="0"/>
        <v>0.21970077001865834</v>
      </c>
      <c r="D20">
        <f t="shared" si="1"/>
        <v>-8.0381423065591373E-3</v>
      </c>
      <c r="E20">
        <f t="shared" si="2"/>
        <v>6.4611731740495842E-5</v>
      </c>
    </row>
    <row r="21" spans="1:5" x14ac:dyDescent="0.25">
      <c r="A21">
        <v>1.8369254636374999</v>
      </c>
      <c r="B21">
        <v>0.21939780679792342</v>
      </c>
      <c r="C21">
        <f t="shared" si="0"/>
        <v>0.19613502647259551</v>
      </c>
      <c r="D21">
        <f t="shared" si="1"/>
        <v>2.3262780325327914E-2</v>
      </c>
      <c r="E21">
        <f t="shared" si="2"/>
        <v>5.4115694846446354E-4</v>
      </c>
    </row>
    <row r="22" spans="1:5" x14ac:dyDescent="0.25">
      <c r="A22">
        <v>1.9262966539125002</v>
      </c>
      <c r="B22">
        <v>0.22361699539019117</v>
      </c>
      <c r="C22">
        <f t="shared" si="0"/>
        <v>0.17457252355832159</v>
      </c>
      <c r="D22">
        <f t="shared" si="1"/>
        <v>4.9044471831869579E-2</v>
      </c>
      <c r="E22">
        <f t="shared" si="2"/>
        <v>2.4053602172670486E-3</v>
      </c>
    </row>
    <row r="23" spans="1:5" x14ac:dyDescent="0.25">
      <c r="A23">
        <v>2.0156678441875</v>
      </c>
      <c r="B23">
        <v>0.18634749615849266</v>
      </c>
      <c r="C23">
        <f t="shared" si="0"/>
        <v>0.15493694592659393</v>
      </c>
      <c r="D23">
        <f t="shared" si="1"/>
        <v>3.1410550231898732E-2</v>
      </c>
      <c r="E23">
        <f t="shared" si="2"/>
        <v>9.8662266587063352E-4</v>
      </c>
    </row>
    <row r="24" spans="1:5" x14ac:dyDescent="0.25">
      <c r="A24">
        <v>2.1050390344625001</v>
      </c>
      <c r="B24">
        <v>0.14837479882808283</v>
      </c>
      <c r="C24">
        <f t="shared" si="0"/>
        <v>0.1371346963666433</v>
      </c>
      <c r="D24">
        <f t="shared" si="1"/>
        <v>1.1240102461439527E-2</v>
      </c>
      <c r="E24">
        <f t="shared" si="2"/>
        <v>1.2633990334365891E-4</v>
      </c>
    </row>
    <row r="25" spans="1:5" x14ac:dyDescent="0.25">
      <c r="A25">
        <v>2.1944102247375001</v>
      </c>
      <c r="B25">
        <v>0.14556200643323766</v>
      </c>
      <c r="C25">
        <f t="shared" si="0"/>
        <v>0.12106049963539149</v>
      </c>
      <c r="D25">
        <f t="shared" si="1"/>
        <v>2.450150679784617E-2</v>
      </c>
      <c r="E25">
        <f t="shared" si="2"/>
        <v>6.0032383536490208E-4</v>
      </c>
    </row>
    <row r="26" spans="1:5" x14ac:dyDescent="0.25">
      <c r="A26">
        <v>2.2837814150125002</v>
      </c>
      <c r="B26">
        <v>0.14134281784096989</v>
      </c>
      <c r="C26">
        <f t="shared" si="0"/>
        <v>0.10660196245490511</v>
      </c>
      <c r="D26">
        <f t="shared" si="1"/>
        <v>3.4740855386064778E-2</v>
      </c>
      <c r="E26">
        <f t="shared" si="2"/>
        <v>1.206927032955466E-3</v>
      </c>
    </row>
    <row r="27" spans="1:5" x14ac:dyDescent="0.25">
      <c r="A27">
        <v>2.3731526052875003</v>
      </c>
      <c r="B27">
        <v>0.13431083685385697</v>
      </c>
      <c r="C27">
        <f t="shared" si="0"/>
        <v>9.3643240468001238E-2</v>
      </c>
      <c r="D27">
        <f t="shared" si="1"/>
        <v>4.0667596385855737E-2</v>
      </c>
      <c r="E27">
        <f t="shared" si="2"/>
        <v>1.6538533958028667E-3</v>
      </c>
    </row>
    <row r="28" spans="1:5" x14ac:dyDescent="0.25">
      <c r="A28">
        <v>2.4625237955624999</v>
      </c>
      <c r="B28">
        <v>0.10196372431313749</v>
      </c>
      <c r="C28">
        <f t="shared" si="0"/>
        <v>8.2067944313578639E-2</v>
      </c>
      <c r="D28">
        <f t="shared" si="1"/>
        <v>1.9895779999558855E-2</v>
      </c>
      <c r="E28">
        <f t="shared" si="2"/>
        <v>3.9584206179084613E-4</v>
      </c>
    </row>
    <row r="29" spans="1:5" x14ac:dyDescent="0.25">
      <c r="A29">
        <v>2.5518949858375</v>
      </c>
      <c r="B29">
        <v>7.4538998463397066E-2</v>
      </c>
      <c r="C29">
        <f t="shared" si="0"/>
        <v>7.1761400923208873E-2</v>
      </c>
      <c r="D29">
        <f t="shared" si="1"/>
        <v>2.7775975401881925E-3</v>
      </c>
      <c r="E29">
        <f t="shared" si="2"/>
        <v>7.7150480952594982E-6</v>
      </c>
    </row>
    <row r="30" spans="1:5" x14ac:dyDescent="0.25">
      <c r="A30">
        <v>2.6412661761125</v>
      </c>
      <c r="B30">
        <v>7.5242196562108357E-2</v>
      </c>
      <c r="C30">
        <f t="shared" si="0"/>
        <v>6.2612371993086766E-2</v>
      </c>
      <c r="D30">
        <f t="shared" si="1"/>
        <v>1.2629824569021592E-2</v>
      </c>
      <c r="E30">
        <f t="shared" si="2"/>
        <v>1.5951246864426142E-4</v>
      </c>
    </row>
    <row r="31" spans="1:5" x14ac:dyDescent="0.25">
      <c r="A31">
        <v>2.7306373663875001</v>
      </c>
      <c r="B31">
        <v>9.0009356635045501E-2</v>
      </c>
      <c r="C31">
        <f t="shared" si="0"/>
        <v>5.4514318953720255E-2</v>
      </c>
      <c r="D31">
        <f t="shared" si="1"/>
        <v>3.5495037681325246E-2</v>
      </c>
      <c r="E31">
        <f t="shared" si="2"/>
        <v>1.259897699998699E-3</v>
      </c>
    </row>
    <row r="32" spans="1:5" x14ac:dyDescent="0.25">
      <c r="A32">
        <v>2.8200085566624997</v>
      </c>
      <c r="B32">
        <v>6.2584630785305073E-2</v>
      </c>
      <c r="C32">
        <f t="shared" si="0"/>
        <v>4.7366292400017197E-2</v>
      </c>
      <c r="D32">
        <f t="shared" si="1"/>
        <v>1.5218338385287876E-2</v>
      </c>
      <c r="E32">
        <f t="shared" si="2"/>
        <v>2.3159782320912641E-4</v>
      </c>
    </row>
    <row r="33" spans="1:5" x14ac:dyDescent="0.25">
      <c r="A33">
        <v>2.9093797469374998</v>
      </c>
      <c r="B33">
        <v>3.234711254071948E-2</v>
      </c>
      <c r="C33">
        <f t="shared" si="0"/>
        <v>4.1073513702256904E-2</v>
      </c>
      <c r="D33">
        <f t="shared" si="1"/>
        <v>-8.726401161537424E-3</v>
      </c>
      <c r="E33">
        <f t="shared" si="2"/>
        <v>7.61500772320817E-5</v>
      </c>
    </row>
    <row r="34" spans="1:5" x14ac:dyDescent="0.25">
      <c r="A34">
        <v>2.9987509372124999</v>
      </c>
      <c r="B34">
        <v>4.4301480218811459E-2</v>
      </c>
      <c r="C34">
        <f t="shared" si="0"/>
        <v>3.554770728979665E-2</v>
      </c>
      <c r="D34">
        <f t="shared" si="1"/>
        <v>8.7537729290148095E-3</v>
      </c>
      <c r="E34">
        <f t="shared" si="2"/>
        <v>7.6628540492752523E-5</v>
      </c>
    </row>
    <row r="35" spans="1:5" x14ac:dyDescent="0.25">
      <c r="A35">
        <v>3.0881221274874999</v>
      </c>
      <c r="B35">
        <v>4.2895084021388877E-2</v>
      </c>
      <c r="C35">
        <f t="shared" si="0"/>
        <v>3.0707233807526182E-2</v>
      </c>
      <c r="D35">
        <f t="shared" si="1"/>
        <v>1.2187850213862695E-2</v>
      </c>
      <c r="E35">
        <f t="shared" si="2"/>
        <v>1.4854369283555293E-4</v>
      </c>
    </row>
    <row r="36" spans="1:5" x14ac:dyDescent="0.25">
      <c r="A36">
        <v>3.1774933177625</v>
      </c>
      <c r="B36">
        <v>2.6721527751029137E-2</v>
      </c>
      <c r="C36">
        <f t="shared" si="0"/>
        <v>2.6477066926968572E-2</v>
      </c>
      <c r="D36">
        <f t="shared" si="1"/>
        <v>2.4446082406056474E-4</v>
      </c>
      <c r="E36">
        <f t="shared" si="2"/>
        <v>5.9761094500370392E-8</v>
      </c>
    </row>
    <row r="37" spans="1:5" x14ac:dyDescent="0.25">
      <c r="A37">
        <v>3.2668645080375001</v>
      </c>
      <c r="B37">
        <v>7.7351790858242236E-3</v>
      </c>
      <c r="C37">
        <f t="shared" si="0"/>
        <v>2.278864999249566E-2</v>
      </c>
      <c r="D37">
        <f t="shared" si="1"/>
        <v>-1.5053470906671435E-2</v>
      </c>
      <c r="E37">
        <f t="shared" si="2"/>
        <v>2.2660698633800332E-4</v>
      </c>
    </row>
    <row r="38" spans="1:5" x14ac:dyDescent="0.25">
      <c r="A38">
        <v>3.3562356983125001</v>
      </c>
      <c r="B38">
        <v>1.7579952467782326E-2</v>
      </c>
      <c r="C38">
        <f t="shared" si="0"/>
        <v>1.95796628433825E-2</v>
      </c>
      <c r="D38">
        <f t="shared" si="1"/>
        <v>-1.9997103756001743E-3</v>
      </c>
      <c r="E38">
        <f t="shared" si="2"/>
        <v>3.9988415862829899E-6</v>
      </c>
    </row>
    <row r="39" spans="1:5" x14ac:dyDescent="0.25">
      <c r="A39">
        <v>3.4456068885874997</v>
      </c>
      <c r="B39">
        <v>0</v>
      </c>
      <c r="C39">
        <f t="shared" si="0"/>
        <v>1.6793724019635831E-2</v>
      </c>
      <c r="D39">
        <f t="shared" si="1"/>
        <v>-1.6793724019635831E-2</v>
      </c>
      <c r="E39">
        <f t="shared" si="2"/>
        <v>2.8202916644769346E-4</v>
      </c>
    </row>
    <row r="40" spans="1:5" x14ac:dyDescent="0.25">
      <c r="A40">
        <v>3.5349780788624998</v>
      </c>
      <c r="B40">
        <v>7.0319809871129298E-4</v>
      </c>
      <c r="C40">
        <f t="shared" si="0"/>
        <v>1.4380049078704325E-2</v>
      </c>
      <c r="D40">
        <f t="shared" si="1"/>
        <v>-1.3676850979993032E-2</v>
      </c>
      <c r="E40">
        <f t="shared" si="2"/>
        <v>1.8705625272893636E-4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40E52-DED2-459D-827A-0E210015C3D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4.4897505300000001E-2</v>
      </c>
      <c r="B1">
        <v>0.24102844768398335</v>
      </c>
      <c r="C1">
        <f>$H$3*(1+$H$1)*(A1^($H$1))*EXP(-$H$3*(A1^(1+$H$1)))</f>
        <v>0.3520618041709544</v>
      </c>
      <c r="D1">
        <f>B1-C1</f>
        <v>-0.11103335648697105</v>
      </c>
      <c r="E1">
        <f>D1^2</f>
        <v>1.2328406252762795E-2</v>
      </c>
      <c r="G1" t="s">
        <v>0</v>
      </c>
      <c r="H1">
        <v>0.39916535649655327</v>
      </c>
    </row>
    <row r="2" spans="1:8" x14ac:dyDescent="0.25">
      <c r="A2">
        <v>0.1330219379</v>
      </c>
      <c r="B2">
        <v>0.43641837272957934</v>
      </c>
      <c r="C2">
        <f t="shared" ref="C2:C40" si="0">$H$3*(1+$H$1)*(A2^($H$1))*EXP(-$H$3*(A2^(1+$H$1)))</f>
        <v>0.52141678873915331</v>
      </c>
      <c r="D2">
        <f t="shared" ref="D2:D40" si="1">B2-C2</f>
        <v>-8.4998416009573974E-2</v>
      </c>
      <c r="E2">
        <f t="shared" ref="E2:E40" si="2">D2^2</f>
        <v>7.2247307241366009E-3</v>
      </c>
    </row>
    <row r="3" spans="1:8" x14ac:dyDescent="0.25">
      <c r="A3">
        <v>0.22114637049999999</v>
      </c>
      <c r="B3">
        <v>0.46422934746234662</v>
      </c>
      <c r="C3">
        <f t="shared" si="0"/>
        <v>0.60505257178291871</v>
      </c>
      <c r="D3">
        <f t="shared" si="1"/>
        <v>-0.14082322432057209</v>
      </c>
      <c r="E3">
        <f t="shared" si="2"/>
        <v>1.9831180508042168E-2</v>
      </c>
      <c r="G3" t="s">
        <v>1</v>
      </c>
      <c r="H3">
        <f>(_xlfn.GAMMA((2+$H$1)/(1+$H$1)))^(1+$H$1)</f>
        <v>0.87841305367028766</v>
      </c>
    </row>
    <row r="4" spans="1:8" x14ac:dyDescent="0.25">
      <c r="A4">
        <v>0.30927080309999999</v>
      </c>
      <c r="B4">
        <v>0.79296933084198074</v>
      </c>
      <c r="C4">
        <f t="shared" si="0"/>
        <v>0.64904268135717624</v>
      </c>
      <c r="D4">
        <f t="shared" si="1"/>
        <v>0.14392664948480449</v>
      </c>
      <c r="E4">
        <f t="shared" si="2"/>
        <v>2.0714880431921774E-2</v>
      </c>
    </row>
    <row r="5" spans="1:8" x14ac:dyDescent="0.25">
      <c r="A5">
        <v>0.39739523570000002</v>
      </c>
      <c r="B5">
        <v>1.0404156957719872</v>
      </c>
      <c r="C5">
        <f t="shared" si="0"/>
        <v>0.66788631476539917</v>
      </c>
      <c r="D5">
        <f t="shared" si="1"/>
        <v>0.37252938100658806</v>
      </c>
      <c r="E5">
        <f t="shared" si="2"/>
        <v>0.13877813971315164</v>
      </c>
      <c r="G5" t="s">
        <v>2</v>
      </c>
      <c r="H5">
        <f>SUM(E1:E40)</f>
        <v>0.25427338749540385</v>
      </c>
    </row>
    <row r="6" spans="1:8" x14ac:dyDescent="0.25">
      <c r="A6">
        <v>0.48551966829999993</v>
      </c>
      <c r="B6">
        <v>0.77514178293636071</v>
      </c>
      <c r="C6">
        <f t="shared" si="0"/>
        <v>0.66911081468705802</v>
      </c>
      <c r="D6">
        <f t="shared" si="1"/>
        <v>0.10603096824930269</v>
      </c>
      <c r="E6">
        <f t="shared" si="2"/>
        <v>1.1242566227884635E-2</v>
      </c>
    </row>
    <row r="7" spans="1:8" x14ac:dyDescent="0.25">
      <c r="A7">
        <v>0.57364410089999995</v>
      </c>
      <c r="B7">
        <v>0.61041524028843119</v>
      </c>
      <c r="C7">
        <f t="shared" si="0"/>
        <v>0.65754489353127921</v>
      </c>
      <c r="D7">
        <f t="shared" si="1"/>
        <v>-4.7129653242848013E-2</v>
      </c>
      <c r="E7">
        <f t="shared" si="2"/>
        <v>2.2212042147910943E-3</v>
      </c>
    </row>
    <row r="8" spans="1:8" x14ac:dyDescent="0.25">
      <c r="A8">
        <v>0.66176853349999998</v>
      </c>
      <c r="B8">
        <v>0.60898903645598157</v>
      </c>
      <c r="C8">
        <f t="shared" si="0"/>
        <v>0.63664544139548696</v>
      </c>
      <c r="D8">
        <f t="shared" si="1"/>
        <v>-2.7656404939505386E-2</v>
      </c>
      <c r="E8">
        <f t="shared" si="2"/>
        <v>7.6487673417789789E-4</v>
      </c>
    </row>
    <row r="9" spans="1:8" x14ac:dyDescent="0.25">
      <c r="A9">
        <v>0.7498929661</v>
      </c>
      <c r="B9">
        <v>0.56335051381759427</v>
      </c>
      <c r="C9">
        <f t="shared" si="0"/>
        <v>0.60903846017394769</v>
      </c>
      <c r="D9">
        <f t="shared" si="1"/>
        <v>-4.5687946356353426E-2</v>
      </c>
      <c r="E9">
        <f t="shared" si="2"/>
        <v>2.0873884422610285E-3</v>
      </c>
    </row>
    <row r="10" spans="1:8" x14ac:dyDescent="0.25">
      <c r="A10">
        <v>0.83801739869999992</v>
      </c>
      <c r="B10">
        <v>0.52484301034145486</v>
      </c>
      <c r="C10">
        <f t="shared" si="0"/>
        <v>0.5767822701600398</v>
      </c>
      <c r="D10">
        <f t="shared" si="1"/>
        <v>-5.1939259818584937E-2</v>
      </c>
      <c r="E10">
        <f t="shared" si="2"/>
        <v>2.6976867105024719E-3</v>
      </c>
    </row>
    <row r="11" spans="1:8" x14ac:dyDescent="0.25">
      <c r="A11">
        <v>0.92614183130000005</v>
      </c>
      <c r="B11">
        <v>0.43570527081335453</v>
      </c>
      <c r="C11">
        <f t="shared" si="0"/>
        <v>0.54151413458847109</v>
      </c>
      <c r="D11">
        <f t="shared" si="1"/>
        <v>-0.10580886377511656</v>
      </c>
      <c r="E11">
        <f t="shared" si="2"/>
        <v>1.1195515653381173E-2</v>
      </c>
    </row>
    <row r="12" spans="1:8" x14ac:dyDescent="0.25">
      <c r="A12">
        <v>1.0142662639</v>
      </c>
      <c r="B12">
        <v>0.44069698422692816</v>
      </c>
      <c r="C12">
        <f t="shared" si="0"/>
        <v>0.50454168288704304</v>
      </c>
      <c r="D12">
        <f t="shared" si="1"/>
        <v>-6.3844698660114885E-2</v>
      </c>
      <c r="E12">
        <f t="shared" si="2"/>
        <v>4.0761455470008758E-3</v>
      </c>
    </row>
    <row r="13" spans="1:8" x14ac:dyDescent="0.25">
      <c r="A13">
        <v>1.1023906965000001</v>
      </c>
      <c r="B13">
        <v>0.4271480478186569</v>
      </c>
      <c r="C13">
        <f t="shared" si="0"/>
        <v>0.46690561248182832</v>
      </c>
      <c r="D13">
        <f t="shared" si="1"/>
        <v>-3.975756466317143E-2</v>
      </c>
      <c r="E13">
        <f t="shared" si="2"/>
        <v>1.5806639479462575E-3</v>
      </c>
    </row>
    <row r="14" spans="1:8" x14ac:dyDescent="0.25">
      <c r="A14">
        <v>1.1905151291</v>
      </c>
      <c r="B14">
        <v>0.41502531524283526</v>
      </c>
      <c r="C14">
        <f t="shared" si="0"/>
        <v>0.42942616103035519</v>
      </c>
      <c r="D14">
        <f t="shared" si="1"/>
        <v>-1.4400845787519934E-2</v>
      </c>
      <c r="E14">
        <f t="shared" si="2"/>
        <v>2.0738435939593062E-4</v>
      </c>
    </row>
    <row r="15" spans="1:8" x14ac:dyDescent="0.25">
      <c r="A15">
        <v>1.2786395616999999</v>
      </c>
      <c r="B15">
        <v>0.3280268814634093</v>
      </c>
      <c r="C15">
        <f t="shared" si="0"/>
        <v>0.39273965083755691</v>
      </c>
      <c r="D15">
        <f t="shared" si="1"/>
        <v>-6.4712769374147605E-2</v>
      </c>
      <c r="E15">
        <f t="shared" si="2"/>
        <v>4.1877425200716164E-3</v>
      </c>
    </row>
    <row r="16" spans="1:8" x14ac:dyDescent="0.25">
      <c r="A16">
        <v>1.3667639943000001</v>
      </c>
      <c r="B16">
        <v>0.31447794505513804</v>
      </c>
      <c r="C16">
        <f t="shared" si="0"/>
        <v>0.35732845840526212</v>
      </c>
      <c r="D16">
        <f t="shared" si="1"/>
        <v>-4.2850513350124075E-2</v>
      </c>
      <c r="E16">
        <f t="shared" si="2"/>
        <v>1.8361664943691617E-3</v>
      </c>
    </row>
    <row r="17" spans="1:5" x14ac:dyDescent="0.25">
      <c r="A17">
        <v>1.4548884269</v>
      </c>
      <c r="B17">
        <v>0.30449451822799078</v>
      </c>
      <c r="C17">
        <f t="shared" si="0"/>
        <v>0.32354627824455723</v>
      </c>
      <c r="D17">
        <f t="shared" si="1"/>
        <v>-1.9051760016566444E-2</v>
      </c>
      <c r="E17">
        <f t="shared" si="2"/>
        <v>3.6296955972883982E-4</v>
      </c>
    </row>
    <row r="18" spans="1:5" x14ac:dyDescent="0.25">
      <c r="A18">
        <v>1.5430128595000001</v>
      </c>
      <c r="B18">
        <v>0.32089586230116129</v>
      </c>
      <c r="C18">
        <f t="shared" si="0"/>
        <v>0.29163977301962329</v>
      </c>
      <c r="D18">
        <f t="shared" si="1"/>
        <v>2.9256089281538E-2</v>
      </c>
      <c r="E18">
        <f t="shared" si="2"/>
        <v>8.5591876004932263E-4</v>
      </c>
    </row>
    <row r="19" spans="1:5" x14ac:dyDescent="0.25">
      <c r="A19">
        <v>1.6311372921</v>
      </c>
      <c r="B19">
        <v>0.25671668984092905</v>
      </c>
      <c r="C19">
        <f t="shared" si="0"/>
        <v>0.26176728360523172</v>
      </c>
      <c r="D19">
        <f t="shared" si="1"/>
        <v>-5.0505937643026688E-3</v>
      </c>
      <c r="E19">
        <f t="shared" si="2"/>
        <v>2.5508497372013001E-5</v>
      </c>
    </row>
    <row r="20" spans="1:5" x14ac:dyDescent="0.25">
      <c r="A20">
        <v>1.7192617246999999</v>
      </c>
      <c r="B20">
        <v>0.21820918636478967</v>
      </c>
      <c r="C20">
        <f t="shared" si="0"/>
        <v>0.2340150430243437</v>
      </c>
      <c r="D20">
        <f t="shared" si="1"/>
        <v>-1.580585665955403E-2</v>
      </c>
      <c r="E20">
        <f t="shared" si="2"/>
        <v>2.4982510474236844E-4</v>
      </c>
    </row>
    <row r="21" spans="1:5" x14ac:dyDescent="0.25">
      <c r="A21">
        <v>1.8073861572999999</v>
      </c>
      <c r="B21">
        <v>0.23104502085683612</v>
      </c>
      <c r="C21">
        <f t="shared" si="0"/>
        <v>0.20841121067659887</v>
      </c>
      <c r="D21">
        <f t="shared" si="1"/>
        <v>2.2633810180237246E-2</v>
      </c>
      <c r="E21">
        <f t="shared" si="2"/>
        <v>5.1228936327501117E-4</v>
      </c>
    </row>
    <row r="22" spans="1:5" x14ac:dyDescent="0.25">
      <c r="A22">
        <v>1.8955105899000002</v>
      </c>
      <c r="B22">
        <v>0.23104502085683612</v>
      </c>
      <c r="C22">
        <f t="shared" si="0"/>
        <v>0.1849379716266755</v>
      </c>
      <c r="D22">
        <f t="shared" si="1"/>
        <v>4.6107049230160624E-2</v>
      </c>
      <c r="E22">
        <f t="shared" si="2"/>
        <v>2.1258599887124556E-3</v>
      </c>
    </row>
    <row r="23" spans="1:5" x14ac:dyDescent="0.25">
      <c r="A23">
        <v>1.9836350225000001</v>
      </c>
      <c r="B23">
        <v>0.19681612887804559</v>
      </c>
      <c r="C23">
        <f t="shared" si="0"/>
        <v>0.16354190474428357</v>
      </c>
      <c r="D23">
        <f t="shared" si="1"/>
        <v>3.327422413376202E-2</v>
      </c>
      <c r="E23">
        <f t="shared" si="2"/>
        <v>1.107173991703831E-3</v>
      </c>
    </row>
    <row r="24" spans="1:5" x14ac:dyDescent="0.25">
      <c r="A24">
        <v>2.0717594550999996</v>
      </c>
      <c r="B24">
        <v>0.14404658707741017</v>
      </c>
      <c r="C24">
        <f t="shared" si="0"/>
        <v>0.14414279909267685</v>
      </c>
      <c r="D24">
        <f t="shared" si="1"/>
        <v>-9.6212015266688988E-5</v>
      </c>
      <c r="E24">
        <f t="shared" si="2"/>
        <v>9.2567518816775955E-9</v>
      </c>
    </row>
    <row r="25" spans="1:5" x14ac:dyDescent="0.25">
      <c r="A25">
        <v>2.1598838876999995</v>
      </c>
      <c r="B25">
        <v>0.13976797558006135</v>
      </c>
      <c r="C25">
        <f t="shared" si="0"/>
        <v>0.1266410822304839</v>
      </c>
      <c r="D25">
        <f t="shared" si="1"/>
        <v>1.3126893349577451E-2</v>
      </c>
      <c r="E25">
        <f t="shared" si="2"/>
        <v>1.7231532901118072E-4</v>
      </c>
    </row>
    <row r="26" spans="1:5" x14ac:dyDescent="0.25">
      <c r="A26">
        <v>2.2480083203000003</v>
      </c>
      <c r="B26">
        <v>0.15189070815588301</v>
      </c>
      <c r="C26">
        <f t="shared" si="0"/>
        <v>0.11092401259024894</v>
      </c>
      <c r="D26">
        <f t="shared" si="1"/>
        <v>4.0966695565634079E-2</v>
      </c>
      <c r="E26">
        <f t="shared" si="2"/>
        <v>1.6782701455673428E-3</v>
      </c>
    </row>
    <row r="27" spans="1:5" x14ac:dyDescent="0.25">
      <c r="A27">
        <v>2.3361327529000002</v>
      </c>
      <c r="B27">
        <v>0.1511776062396582</v>
      </c>
      <c r="C27">
        <f t="shared" si="0"/>
        <v>9.6870778402469923E-2</v>
      </c>
      <c r="D27">
        <f t="shared" si="1"/>
        <v>5.4306827837188279E-2</v>
      </c>
      <c r="E27">
        <f t="shared" si="2"/>
        <v>2.9492315497380078E-3</v>
      </c>
    </row>
    <row r="28" spans="1:5" x14ac:dyDescent="0.25">
      <c r="A28">
        <v>2.4242571855000001</v>
      </c>
      <c r="B28">
        <v>8.9137739528100349E-2</v>
      </c>
      <c r="C28">
        <f t="shared" si="0"/>
        <v>8.4356636488600423E-2</v>
      </c>
      <c r="D28">
        <f t="shared" si="1"/>
        <v>4.781103039499926E-3</v>
      </c>
      <c r="E28">
        <f t="shared" si="2"/>
        <v>2.285894627431543E-5</v>
      </c>
    </row>
    <row r="29" spans="1:5" x14ac:dyDescent="0.25">
      <c r="A29">
        <v>2.5123816181</v>
      </c>
      <c r="B29">
        <v>8.699843377942594E-2</v>
      </c>
      <c r="C29">
        <f t="shared" si="0"/>
        <v>7.3256215068499692E-2</v>
      </c>
      <c r="D29">
        <f t="shared" si="1"/>
        <v>1.3742218710926249E-2</v>
      </c>
      <c r="E29">
        <f t="shared" si="2"/>
        <v>1.8884857509893148E-4</v>
      </c>
    </row>
    <row r="30" spans="1:5" x14ac:dyDescent="0.25">
      <c r="A30">
        <v>2.6005060507</v>
      </c>
      <c r="B30">
        <v>7.7728108868503509E-2</v>
      </c>
      <c r="C30">
        <f t="shared" si="0"/>
        <v>6.3446095319510426E-2</v>
      </c>
      <c r="D30">
        <f t="shared" si="1"/>
        <v>1.4282013548993083E-2</v>
      </c>
      <c r="E30">
        <f t="shared" si="2"/>
        <v>2.03975911013622E-4</v>
      </c>
    </row>
    <row r="31" spans="1:5" x14ac:dyDescent="0.25">
      <c r="A31">
        <v>2.6886304832999999</v>
      </c>
      <c r="B31">
        <v>9.4129452941673977E-2</v>
      </c>
      <c r="C31">
        <f t="shared" si="0"/>
        <v>5.480677679751176E-2</v>
      </c>
      <c r="D31">
        <f t="shared" si="1"/>
        <v>3.9322676144162218E-2</v>
      </c>
      <c r="E31">
        <f t="shared" si="2"/>
        <v>1.5462728591386643E-3</v>
      </c>
    </row>
    <row r="32" spans="1:5" x14ac:dyDescent="0.25">
      <c r="A32">
        <v>2.7767549158999998</v>
      </c>
      <c r="B32">
        <v>5.9187459046658633E-2</v>
      </c>
      <c r="C32">
        <f t="shared" si="0"/>
        <v>4.7224122100794928E-2</v>
      </c>
      <c r="D32">
        <f t="shared" si="1"/>
        <v>1.1963336945863705E-2</v>
      </c>
      <c r="E32">
        <f t="shared" si="2"/>
        <v>1.4312143088026752E-4</v>
      </c>
    </row>
    <row r="33" spans="1:5" x14ac:dyDescent="0.25">
      <c r="A33">
        <v>2.8648793484999997</v>
      </c>
      <c r="B33">
        <v>3.3515790062565734E-2</v>
      </c>
      <c r="C33">
        <f t="shared" si="0"/>
        <v>4.0590366482600546E-2</v>
      </c>
      <c r="D33">
        <f t="shared" si="1"/>
        <v>-7.0745764200348116E-3</v>
      </c>
      <c r="E33">
        <f t="shared" si="2"/>
        <v>5.0049631522912572E-5</v>
      </c>
    </row>
    <row r="34" spans="1:5" x14ac:dyDescent="0.25">
      <c r="A34">
        <v>2.9530037810999996</v>
      </c>
      <c r="B34">
        <v>4.7777828387061787E-2</v>
      </c>
      <c r="C34">
        <f t="shared" si="0"/>
        <v>3.4804768659358193E-2</v>
      </c>
      <c r="D34">
        <f t="shared" si="1"/>
        <v>1.2973059727703594E-2</v>
      </c>
      <c r="E34">
        <f t="shared" si="2"/>
        <v>1.6830027869856485E-4</v>
      </c>
    </row>
    <row r="35" spans="1:5" x14ac:dyDescent="0.25">
      <c r="A35">
        <v>3.0411282137</v>
      </c>
      <c r="B35">
        <v>4.9204032219511397E-2</v>
      </c>
      <c r="C35">
        <f t="shared" si="0"/>
        <v>2.9773969965218122E-2</v>
      </c>
      <c r="D35">
        <f t="shared" si="1"/>
        <v>1.9430062254293275E-2</v>
      </c>
      <c r="E35">
        <f t="shared" si="2"/>
        <v>3.7752731920571227E-4</v>
      </c>
    </row>
    <row r="36" spans="1:5" x14ac:dyDescent="0.25">
      <c r="A36">
        <v>3.1292526462999999</v>
      </c>
      <c r="B36">
        <v>1.9966853654294479E-2</v>
      </c>
      <c r="C36">
        <f t="shared" si="0"/>
        <v>2.5412120389808741E-2</v>
      </c>
      <c r="D36">
        <f t="shared" si="1"/>
        <v>-5.4452667355142613E-3</v>
      </c>
      <c r="E36">
        <f t="shared" si="2"/>
        <v>2.9650929820898139E-5</v>
      </c>
    </row>
    <row r="37" spans="1:5" x14ac:dyDescent="0.25">
      <c r="A37">
        <v>3.2173770789000002</v>
      </c>
      <c r="B37">
        <v>1.2122732575821648E-2</v>
      </c>
      <c r="C37">
        <f t="shared" si="0"/>
        <v>2.1640821996474414E-2</v>
      </c>
      <c r="D37">
        <f t="shared" si="1"/>
        <v>-9.5180894206527665E-3</v>
      </c>
      <c r="E37">
        <f t="shared" si="2"/>
        <v>9.0594026219542115E-5</v>
      </c>
    </row>
    <row r="38" spans="1:5" x14ac:dyDescent="0.25">
      <c r="A38">
        <v>3.3055015115000002</v>
      </c>
      <c r="B38">
        <v>1.2122732575821648E-2</v>
      </c>
      <c r="C38">
        <f t="shared" si="0"/>
        <v>1.8388932814563132E-2</v>
      </c>
      <c r="D38">
        <f t="shared" si="1"/>
        <v>-6.2662002387414845E-3</v>
      </c>
      <c r="E38">
        <f t="shared" si="2"/>
        <v>3.9265265432003834E-5</v>
      </c>
    </row>
    <row r="39" spans="1:5" x14ac:dyDescent="0.25">
      <c r="A39">
        <v>3.3936259441000001</v>
      </c>
      <c r="B39">
        <v>0</v>
      </c>
      <c r="C39">
        <f t="shared" si="0"/>
        <v>1.5592267566887811E-2</v>
      </c>
      <c r="D39">
        <f t="shared" si="1"/>
        <v>-1.5592267566887811E-2</v>
      </c>
      <c r="E39">
        <f t="shared" si="2"/>
        <v>2.4311880787742155E-4</v>
      </c>
    </row>
    <row r="40" spans="1:5" x14ac:dyDescent="0.25">
      <c r="A40">
        <v>3.4817503767</v>
      </c>
      <c r="B40">
        <v>7.1310191622480279E-4</v>
      </c>
      <c r="C40">
        <f t="shared" si="0"/>
        <v>1.319322554428512E-2</v>
      </c>
      <c r="D40">
        <f t="shared" si="1"/>
        <v>-1.2480123628060317E-2</v>
      </c>
      <c r="E40">
        <f t="shared" si="2"/>
        <v>1.557534857716694E-4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A29E-C54B-49CD-9353-9A6042040EA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5.45656027875E-2</v>
      </c>
      <c r="B1">
        <v>0.24226927677872687</v>
      </c>
      <c r="C1">
        <f>$H$3*(1+$H$1)*(A1^($H$1))*EXP(-$H$3*(A1^(1+$H$1)))</f>
        <v>0.34066707280262826</v>
      </c>
      <c r="D1">
        <f>B1-C1</f>
        <v>-9.839779602390139E-2</v>
      </c>
      <c r="E1">
        <f>D1^2</f>
        <v>9.6821262623613038E-3</v>
      </c>
      <c r="G1" t="s">
        <v>0</v>
      </c>
      <c r="H1">
        <v>0.44373405644423514</v>
      </c>
    </row>
    <row r="2" spans="1:8" x14ac:dyDescent="0.25">
      <c r="A2">
        <v>0.1412065823625</v>
      </c>
      <c r="B2">
        <v>0.44681998352004715</v>
      </c>
      <c r="C2">
        <f t="shared" ref="C2:C40" si="0">$H$3*(1+$H$1)*(A2^($H$1))*EXP(-$H$3*(A2^(1+$H$1)))</f>
        <v>0.49988917935553506</v>
      </c>
      <c r="D2">
        <f t="shared" ref="D2:D40" si="1">B2-C2</f>
        <v>-5.3069195835487915E-2</v>
      </c>
      <c r="E2">
        <f t="shared" ref="E2:E40" si="2">D2^2</f>
        <v>2.816339546625368E-3</v>
      </c>
    </row>
    <row r="3" spans="1:8" x14ac:dyDescent="0.25">
      <c r="A3">
        <v>0.2278475619375</v>
      </c>
      <c r="B3">
        <v>0.44246784082342333</v>
      </c>
      <c r="C3">
        <f t="shared" si="0"/>
        <v>0.58725715894238684</v>
      </c>
      <c r="D3">
        <f t="shared" si="1"/>
        <v>-0.14478931811896351</v>
      </c>
      <c r="E3">
        <f t="shared" si="2"/>
        <v>2.0963946641354415E-2</v>
      </c>
      <c r="G3" t="s">
        <v>1</v>
      </c>
      <c r="H3">
        <f>(_xlfn.GAMMA((2+$H$1)/(1+$H$1)))^(1+$H$1)</f>
        <v>0.86892077692358083</v>
      </c>
    </row>
    <row r="4" spans="1:8" x14ac:dyDescent="0.25">
      <c r="A4">
        <v>0.31448854151250005</v>
      </c>
      <c r="B4">
        <v>0.56215176498057884</v>
      </c>
      <c r="C4">
        <f t="shared" si="0"/>
        <v>0.63754070453138145</v>
      </c>
      <c r="D4">
        <f t="shared" si="1"/>
        <v>-7.5388939550802614E-2</v>
      </c>
      <c r="E4">
        <f t="shared" si="2"/>
        <v>5.6834922065945705E-3</v>
      </c>
    </row>
    <row r="5" spans="1:8" x14ac:dyDescent="0.25">
      <c r="A5">
        <v>0.4011295210875</v>
      </c>
      <c r="B5">
        <v>1.1170499588001179</v>
      </c>
      <c r="C5">
        <f t="shared" si="0"/>
        <v>0.66298385379721814</v>
      </c>
      <c r="D5">
        <f t="shared" si="1"/>
        <v>0.45406610500289979</v>
      </c>
      <c r="E5">
        <f t="shared" si="2"/>
        <v>0.20617602771250443</v>
      </c>
      <c r="G5" t="s">
        <v>2</v>
      </c>
      <c r="H5">
        <f>SUM(E1:E40)</f>
        <v>0.34175314193295675</v>
      </c>
    </row>
    <row r="6" spans="1:8" x14ac:dyDescent="0.25">
      <c r="A6">
        <v>0.48777050066250005</v>
      </c>
      <c r="B6">
        <v>0.89654139550451017</v>
      </c>
      <c r="C6">
        <f t="shared" si="0"/>
        <v>0.67029227901661803</v>
      </c>
      <c r="D6">
        <f t="shared" si="1"/>
        <v>0.22624911648789214</v>
      </c>
      <c r="E6">
        <f t="shared" si="2"/>
        <v>5.1188662711551786E-2</v>
      </c>
    </row>
    <row r="7" spans="1:8" x14ac:dyDescent="0.25">
      <c r="A7">
        <v>0.57441148023749999</v>
      </c>
      <c r="B7">
        <v>0.66515247546734291</v>
      </c>
      <c r="C7">
        <f t="shared" si="0"/>
        <v>0.66395012250006469</v>
      </c>
      <c r="D7">
        <f t="shared" si="1"/>
        <v>1.2023529672782196E-3</v>
      </c>
      <c r="E7">
        <f t="shared" si="2"/>
        <v>1.4456526579227394E-6</v>
      </c>
    </row>
    <row r="8" spans="1:8" x14ac:dyDescent="0.25">
      <c r="A8">
        <v>0.66105245981250005</v>
      </c>
      <c r="B8">
        <v>0.63396211947487213</v>
      </c>
      <c r="C8">
        <f t="shared" si="0"/>
        <v>0.64728754580377079</v>
      </c>
      <c r="D8">
        <f t="shared" si="1"/>
        <v>-1.332542632889866E-2</v>
      </c>
      <c r="E8">
        <f t="shared" si="2"/>
        <v>1.7756698684690561E-4</v>
      </c>
    </row>
    <row r="9" spans="1:8" x14ac:dyDescent="0.25">
      <c r="A9">
        <v>0.7476934393875001</v>
      </c>
      <c r="B9">
        <v>0.57375747883824235</v>
      </c>
      <c r="C9">
        <f t="shared" si="0"/>
        <v>0.62292015962151914</v>
      </c>
      <c r="D9">
        <f t="shared" si="1"/>
        <v>-4.9162680783276791E-2</v>
      </c>
      <c r="E9">
        <f t="shared" si="2"/>
        <v>2.4169691817983729E-3</v>
      </c>
    </row>
    <row r="10" spans="1:8" x14ac:dyDescent="0.25">
      <c r="A10">
        <v>0.83433441896250016</v>
      </c>
      <c r="B10">
        <v>0.54691926554239545</v>
      </c>
      <c r="C10">
        <f t="shared" si="0"/>
        <v>0.59296204876926328</v>
      </c>
      <c r="D10">
        <f t="shared" si="1"/>
        <v>-4.6042783226867834E-2</v>
      </c>
      <c r="E10">
        <f t="shared" si="2"/>
        <v>2.1199378872763419E-3</v>
      </c>
    </row>
    <row r="11" spans="1:8" x14ac:dyDescent="0.25">
      <c r="A11">
        <v>0.9209753985375001</v>
      </c>
      <c r="B11">
        <v>0.46060176872602265</v>
      </c>
      <c r="C11">
        <f t="shared" si="0"/>
        <v>0.55914350838635629</v>
      </c>
      <c r="D11">
        <f t="shared" si="1"/>
        <v>-9.8541739660333638E-2</v>
      </c>
      <c r="E11">
        <f t="shared" si="2"/>
        <v>9.7104744552849714E-3</v>
      </c>
    </row>
    <row r="12" spans="1:8" x14ac:dyDescent="0.25">
      <c r="A12">
        <v>1.0076163781125</v>
      </c>
      <c r="B12">
        <v>0.45697498314550278</v>
      </c>
      <c r="C12">
        <f t="shared" si="0"/>
        <v>0.52288422600297224</v>
      </c>
      <c r="D12">
        <f t="shared" si="1"/>
        <v>-6.5909242857469463E-2</v>
      </c>
      <c r="E12">
        <f t="shared" si="2"/>
        <v>4.3440282940448898E-3</v>
      </c>
    </row>
    <row r="13" spans="1:8" x14ac:dyDescent="0.25">
      <c r="A13">
        <v>1.0942573576874999</v>
      </c>
      <c r="B13">
        <v>0.42723534138523989</v>
      </c>
      <c r="C13">
        <f t="shared" si="0"/>
        <v>0.48534390345010781</v>
      </c>
      <c r="D13">
        <f t="shared" si="1"/>
        <v>-5.8108562064867919E-2</v>
      </c>
      <c r="E13">
        <f t="shared" si="2"/>
        <v>3.376604985246607E-3</v>
      </c>
    </row>
    <row r="14" spans="1:8" x14ac:dyDescent="0.25">
      <c r="A14">
        <v>1.1808983372624999</v>
      </c>
      <c r="B14">
        <v>0.41998177022420019</v>
      </c>
      <c r="C14">
        <f t="shared" si="0"/>
        <v>0.44746062090985483</v>
      </c>
      <c r="D14">
        <f t="shared" si="1"/>
        <v>-2.7478850685654643E-2</v>
      </c>
      <c r="E14">
        <f t="shared" si="2"/>
        <v>7.5508723500450261E-4</v>
      </c>
    </row>
    <row r="15" spans="1:8" x14ac:dyDescent="0.25">
      <c r="A15">
        <v>1.2675393168375</v>
      </c>
      <c r="B15">
        <v>0.35615034400705059</v>
      </c>
      <c r="C15">
        <f t="shared" si="0"/>
        <v>0.40998202514673077</v>
      </c>
      <c r="D15">
        <f t="shared" si="1"/>
        <v>-5.3831681139680176E-2</v>
      </c>
      <c r="E15">
        <f t="shared" si="2"/>
        <v>2.8978498943241985E-3</v>
      </c>
    </row>
    <row r="16" spans="1:8" x14ac:dyDescent="0.25">
      <c r="A16">
        <v>1.3541802964125</v>
      </c>
      <c r="B16">
        <v>0.30102320318314868</v>
      </c>
      <c r="C16">
        <f t="shared" si="0"/>
        <v>0.37349193196919839</v>
      </c>
      <c r="D16">
        <f t="shared" si="1"/>
        <v>-7.2468728786049708E-2</v>
      </c>
      <c r="E16">
        <f t="shared" si="2"/>
        <v>5.2517166518660299E-3</v>
      </c>
    </row>
    <row r="17" spans="1:5" x14ac:dyDescent="0.25">
      <c r="A17">
        <v>1.4408212759875001</v>
      </c>
      <c r="B17">
        <v>0.32786141647899564</v>
      </c>
      <c r="C17">
        <f t="shared" si="0"/>
        <v>0.33843368820740899</v>
      </c>
      <c r="D17">
        <f t="shared" si="1"/>
        <v>-1.0572271728413352E-2</v>
      </c>
      <c r="E17">
        <f t="shared" si="2"/>
        <v>1.1177292949940824E-4</v>
      </c>
    </row>
    <row r="18" spans="1:5" x14ac:dyDescent="0.25">
      <c r="A18">
        <v>1.5274622555625001</v>
      </c>
      <c r="B18">
        <v>0.33003748782730757</v>
      </c>
      <c r="C18">
        <f t="shared" si="0"/>
        <v>0.3051310006508281</v>
      </c>
      <c r="D18">
        <f t="shared" si="1"/>
        <v>2.4906487176479475E-2</v>
      </c>
      <c r="E18">
        <f t="shared" si="2"/>
        <v>6.203331034721365E-4</v>
      </c>
    </row>
    <row r="19" spans="1:5" x14ac:dyDescent="0.25">
      <c r="A19">
        <v>1.6141032351375002</v>
      </c>
      <c r="B19">
        <v>0.24879749082366262</v>
      </c>
      <c r="C19">
        <f t="shared" si="0"/>
        <v>0.27380661095109776</v>
      </c>
      <c r="D19">
        <f t="shared" si="1"/>
        <v>-2.5009120127435142E-2</v>
      </c>
      <c r="E19">
        <f t="shared" si="2"/>
        <v>6.2545608954848151E-4</v>
      </c>
    </row>
    <row r="20" spans="1:5" x14ac:dyDescent="0.25">
      <c r="A20">
        <v>1.7007442147125</v>
      </c>
      <c r="B20">
        <v>0.21615642059898385</v>
      </c>
      <c r="C20">
        <f t="shared" si="0"/>
        <v>0.24459902980229661</v>
      </c>
      <c r="D20">
        <f t="shared" si="1"/>
        <v>-2.8442609203312763E-2</v>
      </c>
      <c r="E20">
        <f t="shared" si="2"/>
        <v>8.0898201829237193E-4</v>
      </c>
    </row>
    <row r="21" spans="1:5" x14ac:dyDescent="0.25">
      <c r="A21">
        <v>1.7873851942875003</v>
      </c>
      <c r="B21">
        <v>0.23501570561768714</v>
      </c>
      <c r="C21">
        <f t="shared" si="0"/>
        <v>0.21757746491258145</v>
      </c>
      <c r="D21">
        <f t="shared" si="1"/>
        <v>1.743824070510569E-2</v>
      </c>
      <c r="E21">
        <f t="shared" si="2"/>
        <v>3.0409223888920497E-4</v>
      </c>
    </row>
    <row r="22" spans="1:5" x14ac:dyDescent="0.25">
      <c r="A22">
        <v>1.8740261738625001</v>
      </c>
      <c r="B22">
        <v>0.24517070524314277</v>
      </c>
      <c r="C22">
        <f t="shared" si="0"/>
        <v>0.19275504465123658</v>
      </c>
      <c r="D22">
        <f t="shared" si="1"/>
        <v>5.2415660591906194E-2</v>
      </c>
      <c r="E22">
        <f t="shared" si="2"/>
        <v>2.7474014752859079E-3</v>
      </c>
    </row>
    <row r="23" spans="1:5" x14ac:dyDescent="0.25">
      <c r="A23">
        <v>1.9606671534375</v>
      </c>
      <c r="B23">
        <v>0.19874784981248853</v>
      </c>
      <c r="C23">
        <f t="shared" si="0"/>
        <v>0.17010043033917102</v>
      </c>
      <c r="D23">
        <f t="shared" si="1"/>
        <v>2.8647419473317504E-2</v>
      </c>
      <c r="E23">
        <f t="shared" si="2"/>
        <v>8.2067464248021093E-4</v>
      </c>
    </row>
    <row r="24" spans="1:5" x14ac:dyDescent="0.25">
      <c r="A24">
        <v>2.0473081330124998</v>
      </c>
      <c r="B24">
        <v>0.1486982088013144</v>
      </c>
      <c r="C24">
        <f t="shared" si="0"/>
        <v>0.14954791239628168</v>
      </c>
      <c r="D24">
        <f t="shared" si="1"/>
        <v>-8.497035949672771E-4</v>
      </c>
      <c r="E24">
        <f t="shared" si="2"/>
        <v>7.2199619930031448E-7</v>
      </c>
    </row>
    <row r="25" spans="1:5" x14ac:dyDescent="0.25">
      <c r="A25">
        <v>2.1339491125875001</v>
      </c>
      <c r="B25">
        <v>0.14289535187248262</v>
      </c>
      <c r="C25">
        <f t="shared" si="0"/>
        <v>0.1310060919633656</v>
      </c>
      <c r="D25">
        <f t="shared" si="1"/>
        <v>1.1889259909117017E-2</v>
      </c>
      <c r="E25">
        <f t="shared" si="2"/>
        <v>1.4135450118653718E-4</v>
      </c>
    </row>
    <row r="26" spans="1:5" x14ac:dyDescent="0.25">
      <c r="A26">
        <v>2.2205900921624999</v>
      </c>
      <c r="B26">
        <v>0.16102927977508194</v>
      </c>
      <c r="C26">
        <f t="shared" si="0"/>
        <v>0.11436525637054547</v>
      </c>
      <c r="D26">
        <f t="shared" si="1"/>
        <v>4.6664023404536473E-2</v>
      </c>
      <c r="E26">
        <f t="shared" si="2"/>
        <v>2.1775310802991275E-3</v>
      </c>
    </row>
    <row r="27" spans="1:5" x14ac:dyDescent="0.25">
      <c r="A27">
        <v>2.3072310717375002</v>
      </c>
      <c r="B27">
        <v>0.14144463764027468</v>
      </c>
      <c r="C27">
        <f t="shared" si="0"/>
        <v>9.9503561988728534E-2</v>
      </c>
      <c r="D27">
        <f t="shared" si="1"/>
        <v>4.1941075651546145E-2</v>
      </c>
      <c r="E27">
        <f t="shared" si="2"/>
        <v>1.7590538268087168E-3</v>
      </c>
    </row>
    <row r="28" spans="1:5" x14ac:dyDescent="0.25">
      <c r="A28">
        <v>2.3938720513125</v>
      </c>
      <c r="B28">
        <v>9.5021782209620417E-2</v>
      </c>
      <c r="C28">
        <f t="shared" si="0"/>
        <v>8.6292140735966236E-2</v>
      </c>
      <c r="D28">
        <f t="shared" si="1"/>
        <v>8.7296414736541816E-3</v>
      </c>
      <c r="E28">
        <f t="shared" si="2"/>
        <v>7.6206640258543145E-5</v>
      </c>
    </row>
    <row r="29" spans="1:5" x14ac:dyDescent="0.25">
      <c r="A29">
        <v>2.4805130308874999</v>
      </c>
      <c r="B29">
        <v>9.1394996629100556E-2</v>
      </c>
      <c r="C29">
        <f t="shared" si="0"/>
        <v>7.4599246618375026E-2</v>
      </c>
      <c r="D29">
        <f t="shared" si="1"/>
        <v>1.679575001072553E-2</v>
      </c>
      <c r="E29">
        <f t="shared" si="2"/>
        <v>2.8209721842278662E-4</v>
      </c>
    </row>
    <row r="30" spans="1:5" x14ac:dyDescent="0.25">
      <c r="A30">
        <v>2.5671540104624997</v>
      </c>
      <c r="B30">
        <v>7.8338568539229048E-2</v>
      </c>
      <c r="C30">
        <f t="shared" si="0"/>
        <v>6.4293556328447674E-2</v>
      </c>
      <c r="D30">
        <f t="shared" si="1"/>
        <v>1.4045012210781374E-2</v>
      </c>
      <c r="E30">
        <f t="shared" si="2"/>
        <v>1.9726236800099789E-4</v>
      </c>
    </row>
    <row r="31" spans="1:5" x14ac:dyDescent="0.25">
      <c r="A31">
        <v>2.6537949900375004</v>
      </c>
      <c r="B31">
        <v>9.792321067403631E-2</v>
      </c>
      <c r="C31">
        <f t="shared" si="0"/>
        <v>5.5246733453142863E-2</v>
      </c>
      <c r="D31">
        <f t="shared" si="1"/>
        <v>4.2676477220893447E-2</v>
      </c>
      <c r="E31">
        <f t="shared" si="2"/>
        <v>1.8212817079854373E-3</v>
      </c>
    </row>
    <row r="32" spans="1:5" x14ac:dyDescent="0.25">
      <c r="A32">
        <v>2.7404359696125002</v>
      </c>
      <c r="B32">
        <v>5.8753926404421786E-2</v>
      </c>
      <c r="C32">
        <f t="shared" si="0"/>
        <v>4.7335359691921694E-2</v>
      </c>
      <c r="D32">
        <f t="shared" si="1"/>
        <v>1.1418566712500092E-2</v>
      </c>
      <c r="E32">
        <f t="shared" si="2"/>
        <v>1.3038366576781515E-4</v>
      </c>
    </row>
    <row r="33" spans="1:5" x14ac:dyDescent="0.25">
      <c r="A33">
        <v>2.8270769491875001</v>
      </c>
      <c r="B33">
        <v>3.4817141572990686E-2</v>
      </c>
      <c r="C33">
        <f t="shared" si="0"/>
        <v>4.0442329097554672E-2</v>
      </c>
      <c r="D33">
        <f t="shared" si="1"/>
        <v>-5.6251875245639862E-3</v>
      </c>
      <c r="E33">
        <f t="shared" si="2"/>
        <v>3.1642734686510304E-5</v>
      </c>
    </row>
    <row r="34" spans="1:5" x14ac:dyDescent="0.25">
      <c r="A34">
        <v>2.9137179287624999</v>
      </c>
      <c r="B34">
        <v>5.0049641011174116E-2</v>
      </c>
      <c r="C34">
        <f t="shared" si="0"/>
        <v>3.4457793152368021E-2</v>
      </c>
      <c r="D34">
        <f t="shared" si="1"/>
        <v>1.5591847858806095E-2</v>
      </c>
      <c r="E34">
        <f t="shared" si="2"/>
        <v>2.431057196521562E-4</v>
      </c>
    </row>
    <row r="35" spans="1:5" x14ac:dyDescent="0.25">
      <c r="A35">
        <v>3.0003589083374997</v>
      </c>
      <c r="B35">
        <v>5.3676426591693978E-2</v>
      </c>
      <c r="C35">
        <f t="shared" si="0"/>
        <v>2.9279735855724319E-2</v>
      </c>
      <c r="D35">
        <f t="shared" si="1"/>
        <v>2.4396690735969659E-2</v>
      </c>
      <c r="E35">
        <f t="shared" si="2"/>
        <v>5.9519851886654773E-4</v>
      </c>
    </row>
    <row r="36" spans="1:5" x14ac:dyDescent="0.25">
      <c r="A36">
        <v>3.0869998879125005</v>
      </c>
      <c r="B36">
        <v>1.5232499438183427E-2</v>
      </c>
      <c r="C36">
        <f t="shared" si="0"/>
        <v>2.481424924447195E-2</v>
      </c>
      <c r="D36">
        <f t="shared" si="1"/>
        <v>-9.5817498062885226E-3</v>
      </c>
      <c r="E36">
        <f t="shared" si="2"/>
        <v>9.1809929350310143E-5</v>
      </c>
    </row>
    <row r="37" spans="1:5" x14ac:dyDescent="0.25">
      <c r="A37">
        <v>3.1736408674875003</v>
      </c>
      <c r="B37">
        <v>1.8859285018703289E-2</v>
      </c>
      <c r="C37">
        <f t="shared" si="0"/>
        <v>2.0975571156751156E-2</v>
      </c>
      <c r="D37">
        <f t="shared" si="1"/>
        <v>-2.1162861380478667E-3</v>
      </c>
      <c r="E37">
        <f t="shared" si="2"/>
        <v>4.4786670180935544E-6</v>
      </c>
    </row>
    <row r="38" spans="1:5" x14ac:dyDescent="0.25">
      <c r="A38">
        <v>3.2602818470625001</v>
      </c>
      <c r="B38">
        <v>2.1760713483119178E-3</v>
      </c>
      <c r="C38">
        <f t="shared" si="0"/>
        <v>1.7685938782987305E-2</v>
      </c>
      <c r="D38">
        <f t="shared" si="1"/>
        <v>-1.5509867434675388E-2</v>
      </c>
      <c r="E38">
        <f t="shared" si="2"/>
        <v>2.4055598784120409E-4</v>
      </c>
    </row>
    <row r="39" spans="1:5" x14ac:dyDescent="0.25">
      <c r="A39">
        <v>3.3469228266375</v>
      </c>
      <c r="B39">
        <v>0</v>
      </c>
      <c r="C39">
        <f t="shared" si="0"/>
        <v>1.4875303774904754E-2</v>
      </c>
      <c r="D39">
        <f t="shared" si="1"/>
        <v>-1.4875303774904754E-2</v>
      </c>
      <c r="E39">
        <f t="shared" si="2"/>
        <v>2.2127466239569562E-4</v>
      </c>
    </row>
    <row r="40" spans="1:5" x14ac:dyDescent="0.25">
      <c r="A40">
        <v>3.4335638062125002</v>
      </c>
      <c r="B40">
        <v>7.2535711610397272E-4</v>
      </c>
      <c r="C40">
        <f t="shared" si="0"/>
        <v>1.2480947505643245E-2</v>
      </c>
      <c r="D40">
        <f t="shared" si="1"/>
        <v>-1.1755590389539272E-2</v>
      </c>
      <c r="E40">
        <f t="shared" si="2"/>
        <v>1.3819390540662809E-4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3954-ACE1-43F3-9512-24DBE1BC884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4.3752886375000008E-2</v>
      </c>
      <c r="B1">
        <v>9.9546427115121836E-2</v>
      </c>
      <c r="C1">
        <f>$H$3*(1+$H$1)*(A1^($H$1))*EXP(-$H$3*(A1^(1+$H$1)))</f>
        <v>0.23808443719580147</v>
      </c>
      <c r="D1">
        <f>B1-C1</f>
        <v>-0.13853801008067962</v>
      </c>
      <c r="E1">
        <f>D1^2</f>
        <v>1.9192780237114487E-2</v>
      </c>
      <c r="G1" t="s">
        <v>0</v>
      </c>
      <c r="H1">
        <v>0.54301575995916684</v>
      </c>
    </row>
    <row r="2" spans="1:8" x14ac:dyDescent="0.25">
      <c r="A2">
        <v>0.12834445112500001</v>
      </c>
      <c r="B2">
        <v>0.40115724359825217</v>
      </c>
      <c r="C2">
        <f t="shared" ref="C2:C40" si="0">$H$3*(1+$H$1)*(A2^($H$1))*EXP(-$H$3*(A2^(1+$H$1)))</f>
        <v>0.41489587555294855</v>
      </c>
      <c r="D2">
        <f t="shared" ref="D2:D40" si="1">B2-C2</f>
        <v>-1.3738631954696379E-2</v>
      </c>
      <c r="E2">
        <f t="shared" ref="E2:E40" si="2">D2^2</f>
        <v>1.8875000798660444E-4</v>
      </c>
    </row>
    <row r="3" spans="1:8" x14ac:dyDescent="0.25">
      <c r="A3">
        <v>0.212936015875</v>
      </c>
      <c r="B3">
        <v>0.45390199229357792</v>
      </c>
      <c r="C3">
        <f t="shared" si="0"/>
        <v>0.5235288672271704</v>
      </c>
      <c r="D3">
        <f t="shared" si="1"/>
        <v>-6.9626874933592486E-2</v>
      </c>
      <c r="E3">
        <f t="shared" si="2"/>
        <v>4.8479017130181297E-3</v>
      </c>
      <c r="G3" t="s">
        <v>1</v>
      </c>
      <c r="H3">
        <f>(_xlfn.GAMMA((2+$H$1)/(1+$H$1)))^(1+$H$1)</f>
        <v>0.84970335707158118</v>
      </c>
    </row>
    <row r="4" spans="1:8" x14ac:dyDescent="0.25">
      <c r="A4">
        <v>0.29752758062500001</v>
      </c>
      <c r="B4">
        <v>0.49476060043784431</v>
      </c>
      <c r="C4">
        <f t="shared" si="0"/>
        <v>0.59553763865224651</v>
      </c>
      <c r="D4">
        <f t="shared" si="1"/>
        <v>-0.1007770382144022</v>
      </c>
      <c r="E4">
        <f t="shared" si="2"/>
        <v>1.0156011431267082E-2</v>
      </c>
    </row>
    <row r="5" spans="1:8" x14ac:dyDescent="0.25">
      <c r="A5">
        <v>0.38211914537500002</v>
      </c>
      <c r="B5">
        <v>0.62699391406837934</v>
      </c>
      <c r="C5">
        <f t="shared" si="0"/>
        <v>0.64140454577213935</v>
      </c>
      <c r="D5">
        <f t="shared" si="1"/>
        <v>-1.4410631703760002E-2</v>
      </c>
      <c r="E5">
        <f t="shared" si="2"/>
        <v>2.0766630610141289E-4</v>
      </c>
      <c r="G5" t="s">
        <v>2</v>
      </c>
      <c r="H5">
        <f>SUM(E1:E40)</f>
        <v>0.30095882047456879</v>
      </c>
    </row>
    <row r="6" spans="1:8" x14ac:dyDescent="0.25">
      <c r="A6">
        <v>0.46671071012499998</v>
      </c>
      <c r="B6">
        <v>1.0288940414510728</v>
      </c>
      <c r="C6">
        <f t="shared" si="0"/>
        <v>0.6669007943967673</v>
      </c>
      <c r="D6">
        <f t="shared" si="1"/>
        <v>0.36199324705430547</v>
      </c>
      <c r="E6">
        <f t="shared" si="2"/>
        <v>0.13103911091291942</v>
      </c>
    </row>
    <row r="7" spans="1:8" x14ac:dyDescent="0.25">
      <c r="A7">
        <v>0.55130227487499994</v>
      </c>
      <c r="B7">
        <v>0.96054873328248158</v>
      </c>
      <c r="C7">
        <f t="shared" si="0"/>
        <v>0.67604087060493134</v>
      </c>
      <c r="D7">
        <f t="shared" si="1"/>
        <v>0.28450786267755024</v>
      </c>
      <c r="E7">
        <f t="shared" si="2"/>
        <v>8.0944723925347781E-2</v>
      </c>
    </row>
    <row r="8" spans="1:8" x14ac:dyDescent="0.25">
      <c r="A8">
        <v>0.63589383962500001</v>
      </c>
      <c r="B8">
        <v>0.74214090065676652</v>
      </c>
      <c r="C8">
        <f t="shared" si="0"/>
        <v>0.67198206147589279</v>
      </c>
      <c r="D8">
        <f t="shared" si="1"/>
        <v>7.0158839180873733E-2</v>
      </c>
      <c r="E8">
        <f t="shared" si="2"/>
        <v>4.9222627152077031E-3</v>
      </c>
    </row>
    <row r="9" spans="1:8" x14ac:dyDescent="0.25">
      <c r="A9">
        <v>0.72048540437500008</v>
      </c>
      <c r="B9">
        <v>0.66710963842820448</v>
      </c>
      <c r="C9">
        <f t="shared" si="0"/>
        <v>0.65736710957406141</v>
      </c>
      <c r="D9">
        <f t="shared" si="1"/>
        <v>9.7425288541430621E-3</v>
      </c>
      <c r="E9">
        <f t="shared" si="2"/>
        <v>9.4916868473810131E-5</v>
      </c>
    </row>
    <row r="10" spans="1:8" x14ac:dyDescent="0.25">
      <c r="A10">
        <v>0.80507696912500004</v>
      </c>
      <c r="B10">
        <v>0.56904897888196515</v>
      </c>
      <c r="C10">
        <f t="shared" si="0"/>
        <v>0.63447233200376163</v>
      </c>
      <c r="D10">
        <f t="shared" si="1"/>
        <v>-6.5423353121796479E-2</v>
      </c>
      <c r="E10">
        <f t="shared" si="2"/>
        <v>4.2802151336992769E-3</v>
      </c>
    </row>
    <row r="11" spans="1:8" x14ac:dyDescent="0.25">
      <c r="A11">
        <v>0.88966853387500011</v>
      </c>
      <c r="B11">
        <v>0.52521883559993388</v>
      </c>
      <c r="C11">
        <f t="shared" si="0"/>
        <v>0.60527792829705507</v>
      </c>
      <c r="D11">
        <f t="shared" si="1"/>
        <v>-8.0059092697121192E-2</v>
      </c>
      <c r="E11">
        <f t="shared" si="2"/>
        <v>6.4094583234862437E-3</v>
      </c>
    </row>
    <row r="12" spans="1:8" x14ac:dyDescent="0.25">
      <c r="A12">
        <v>0.97426009862500007</v>
      </c>
      <c r="B12">
        <v>0.49401771665340311</v>
      </c>
      <c r="C12">
        <f t="shared" si="0"/>
        <v>0.57150513591815255</v>
      </c>
      <c r="D12">
        <f t="shared" si="1"/>
        <v>-7.7487419264749446E-2</v>
      </c>
      <c r="E12">
        <f t="shared" si="2"/>
        <v>6.0043001443110637E-3</v>
      </c>
    </row>
    <row r="13" spans="1:8" x14ac:dyDescent="0.25">
      <c r="A13">
        <v>1.058851663375</v>
      </c>
      <c r="B13">
        <v>0.46133083013798998</v>
      </c>
      <c r="C13">
        <f t="shared" si="0"/>
        <v>0.53463924981262267</v>
      </c>
      <c r="D13">
        <f t="shared" si="1"/>
        <v>-7.3308419674632697E-2</v>
      </c>
      <c r="E13">
        <f t="shared" si="2"/>
        <v>5.3741243951920745E-3</v>
      </c>
    </row>
    <row r="14" spans="1:8" x14ac:dyDescent="0.25">
      <c r="A14">
        <v>1.143443228125</v>
      </c>
      <c r="B14">
        <v>0.43235836254478288</v>
      </c>
      <c r="C14">
        <f t="shared" si="0"/>
        <v>0.49594708482382027</v>
      </c>
      <c r="D14">
        <f t="shared" si="1"/>
        <v>-6.3588722279037391E-2</v>
      </c>
      <c r="E14">
        <f t="shared" si="2"/>
        <v>4.0435256010805465E-3</v>
      </c>
    </row>
    <row r="15" spans="1:8" x14ac:dyDescent="0.25">
      <c r="A15">
        <v>1.2280347928749999</v>
      </c>
      <c r="B15">
        <v>0.39224263818495764</v>
      </c>
      <c r="C15">
        <f t="shared" si="0"/>
        <v>0.45649278116571929</v>
      </c>
      <c r="D15">
        <f t="shared" si="1"/>
        <v>-6.4250142980761649E-2</v>
      </c>
      <c r="E15">
        <f t="shared" si="2"/>
        <v>4.1280808730483152E-3</v>
      </c>
    </row>
    <row r="16" spans="1:8" x14ac:dyDescent="0.25">
      <c r="A16">
        <v>1.3126263576250001</v>
      </c>
      <c r="B16">
        <v>0.32984040029189621</v>
      </c>
      <c r="C16">
        <f t="shared" si="0"/>
        <v>0.41715361330375839</v>
      </c>
      <c r="D16">
        <f t="shared" si="1"/>
        <v>-8.7313213011862179E-2</v>
      </c>
      <c r="E16">
        <f t="shared" si="2"/>
        <v>7.6235971664548189E-3</v>
      </c>
    </row>
    <row r="17" spans="1:5" x14ac:dyDescent="0.25">
      <c r="A17">
        <v>1.3972179223750001</v>
      </c>
      <c r="B17">
        <v>0.346926727334044</v>
      </c>
      <c r="C17">
        <f t="shared" si="0"/>
        <v>0.37863635149866592</v>
      </c>
      <c r="D17">
        <f t="shared" si="1"/>
        <v>-3.1709624164621919E-2</v>
      </c>
      <c r="E17">
        <f t="shared" si="2"/>
        <v>1.0055002646615744E-3</v>
      </c>
    </row>
    <row r="18" spans="1:5" x14ac:dyDescent="0.25">
      <c r="A18">
        <v>1.481809487125</v>
      </c>
      <c r="B18">
        <v>0.32761174893857259</v>
      </c>
      <c r="C18">
        <f t="shared" si="0"/>
        <v>0.34149417494628975</v>
      </c>
      <c r="D18">
        <f t="shared" si="1"/>
        <v>-1.3882426007717164E-2</v>
      </c>
      <c r="E18">
        <f t="shared" si="2"/>
        <v>1.9272175185974189E-4</v>
      </c>
    </row>
    <row r="19" spans="1:5" x14ac:dyDescent="0.25">
      <c r="A19">
        <v>1.566401051875</v>
      </c>
      <c r="B19">
        <v>0.27338123267436443</v>
      </c>
      <c r="C19">
        <f t="shared" si="0"/>
        <v>0.30614387909526092</v>
      </c>
      <c r="D19">
        <f t="shared" si="1"/>
        <v>-3.2762646420896491E-2</v>
      </c>
      <c r="E19">
        <f t="shared" si="2"/>
        <v>1.0733910005006817E-3</v>
      </c>
    </row>
    <row r="20" spans="1:5" x14ac:dyDescent="0.25">
      <c r="A20">
        <v>1.650992616625</v>
      </c>
      <c r="B20">
        <v>0.24292299751227492</v>
      </c>
      <c r="C20">
        <f t="shared" si="0"/>
        <v>0.27288302288503813</v>
      </c>
      <c r="D20">
        <f t="shared" si="1"/>
        <v>-2.996002537276321E-2</v>
      </c>
      <c r="E20">
        <f t="shared" si="2"/>
        <v>8.9760312033661531E-4</v>
      </c>
    </row>
    <row r="21" spans="1:5" x14ac:dyDescent="0.25">
      <c r="A21">
        <v>1.7355841813750001</v>
      </c>
      <c r="B21">
        <v>0.24663741643448095</v>
      </c>
      <c r="C21">
        <f t="shared" si="0"/>
        <v>0.24190665224320124</v>
      </c>
      <c r="D21">
        <f t="shared" si="1"/>
        <v>4.7307641912797127E-3</v>
      </c>
      <c r="E21">
        <f t="shared" si="2"/>
        <v>2.2380129833494395E-5</v>
      </c>
    </row>
    <row r="22" spans="1:5" x14ac:dyDescent="0.25">
      <c r="A22">
        <v>1.8201757461250003</v>
      </c>
      <c r="B22">
        <v>0.23846569480562768</v>
      </c>
      <c r="C22">
        <f t="shared" si="0"/>
        <v>0.21332327350489047</v>
      </c>
      <c r="D22">
        <f t="shared" si="1"/>
        <v>2.5142421300737211E-2</v>
      </c>
      <c r="E22">
        <f t="shared" si="2"/>
        <v>6.3214134886376428E-4</v>
      </c>
    </row>
    <row r="23" spans="1:5" x14ac:dyDescent="0.25">
      <c r="A23">
        <v>1.9047673108750001</v>
      </c>
      <c r="B23">
        <v>0.19983573801468488</v>
      </c>
      <c r="C23">
        <f t="shared" si="0"/>
        <v>0.18716981053612258</v>
      </c>
      <c r="D23">
        <f t="shared" si="1"/>
        <v>1.2665927478562294E-2</v>
      </c>
      <c r="E23">
        <f t="shared" si="2"/>
        <v>1.6042571889219939E-4</v>
      </c>
    </row>
    <row r="24" spans="1:5" x14ac:dyDescent="0.25">
      <c r="A24">
        <v>1.9893588756249998</v>
      </c>
      <c r="B24">
        <v>0.17532057312812502</v>
      </c>
      <c r="C24">
        <f t="shared" si="0"/>
        <v>0.16342534783920107</v>
      </c>
      <c r="D24">
        <f t="shared" si="1"/>
        <v>1.189522528892395E-2</v>
      </c>
      <c r="E24">
        <f t="shared" si="2"/>
        <v>1.4149638467425587E-4</v>
      </c>
    </row>
    <row r="25" spans="1:5" x14ac:dyDescent="0.25">
      <c r="A25">
        <v>2.073950440375</v>
      </c>
      <c r="B25">
        <v>0.15823424608597725</v>
      </c>
      <c r="C25">
        <f t="shared" si="0"/>
        <v>0.14202353007638616</v>
      </c>
      <c r="D25">
        <f t="shared" si="1"/>
        <v>1.6210716009591092E-2</v>
      </c>
      <c r="E25">
        <f t="shared" si="2"/>
        <v>2.6278731354361295E-4</v>
      </c>
    </row>
    <row r="26" spans="1:5" x14ac:dyDescent="0.25">
      <c r="A26">
        <v>2.1585420051250002</v>
      </c>
      <c r="B26">
        <v>0.15897712987041845</v>
      </c>
      <c r="C26">
        <f t="shared" si="0"/>
        <v>0.12286355113110199</v>
      </c>
      <c r="D26">
        <f t="shared" si="1"/>
        <v>3.6113578739316463E-2</v>
      </c>
      <c r="E26">
        <f t="shared" si="2"/>
        <v>1.30419056936081E-3</v>
      </c>
    </row>
    <row r="27" spans="1:5" x14ac:dyDescent="0.25">
      <c r="A27">
        <v>2.2431335698750003</v>
      </c>
      <c r="B27">
        <v>0.13891926769050583</v>
      </c>
      <c r="C27">
        <f t="shared" si="0"/>
        <v>0.10581972022712753</v>
      </c>
      <c r="D27">
        <f t="shared" si="1"/>
        <v>3.3099547463378301E-2</v>
      </c>
      <c r="E27">
        <f t="shared" si="2"/>
        <v>1.0955800422804329E-3</v>
      </c>
    </row>
    <row r="28" spans="1:5" x14ac:dyDescent="0.25">
      <c r="A28">
        <v>2.3277251346250001</v>
      </c>
      <c r="B28">
        <v>0.12034717307947565</v>
      </c>
      <c r="C28">
        <f t="shared" si="0"/>
        <v>9.0749637485479748E-2</v>
      </c>
      <c r="D28">
        <f t="shared" si="1"/>
        <v>2.9597535593995902E-2</v>
      </c>
      <c r="E28">
        <f t="shared" si="2"/>
        <v>8.7601411323785436E-4</v>
      </c>
    </row>
    <row r="29" spans="1:5" x14ac:dyDescent="0.25">
      <c r="A29">
        <v>2.4123166993749998</v>
      </c>
      <c r="B29">
        <v>8.7660286564062509E-2</v>
      </c>
      <c r="C29">
        <f t="shared" si="0"/>
        <v>7.7501046386690906E-2</v>
      </c>
      <c r="D29">
        <f t="shared" si="1"/>
        <v>1.0159240177371603E-2</v>
      </c>
      <c r="E29">
        <f t="shared" si="2"/>
        <v>1.032101609815214E-4</v>
      </c>
    </row>
    <row r="30" spans="1:5" x14ac:dyDescent="0.25">
      <c r="A30">
        <v>2.496908264125</v>
      </c>
      <c r="B30">
        <v>9.8060659546239409E-2</v>
      </c>
      <c r="C30">
        <f t="shared" si="0"/>
        <v>6.5917456367469526E-2</v>
      </c>
      <c r="D30">
        <f t="shared" si="1"/>
        <v>3.2143203178769883E-2</v>
      </c>
      <c r="E30">
        <f t="shared" si="2"/>
        <v>1.0331855105916823E-3</v>
      </c>
    </row>
    <row r="31" spans="1:5" x14ac:dyDescent="0.25">
      <c r="A31">
        <v>2.5814998288750002</v>
      </c>
      <c r="B31">
        <v>8.6917402779621303E-2</v>
      </c>
      <c r="C31">
        <f t="shared" si="0"/>
        <v>5.5842646079385619E-2</v>
      </c>
      <c r="D31">
        <f t="shared" si="1"/>
        <v>3.1074756700235684E-2</v>
      </c>
      <c r="E31">
        <f t="shared" si="2"/>
        <v>9.6564050397884252E-4</v>
      </c>
    </row>
    <row r="32" spans="1:5" x14ac:dyDescent="0.25">
      <c r="A32">
        <v>2.6660913936250004</v>
      </c>
      <c r="B32">
        <v>6.9088191953032313E-2</v>
      </c>
      <c r="C32">
        <f t="shared" si="0"/>
        <v>4.7124167772485188E-2</v>
      </c>
      <c r="D32">
        <f t="shared" si="1"/>
        <v>2.1964024180547125E-2</v>
      </c>
      <c r="E32">
        <f t="shared" si="2"/>
        <v>4.8241835820365877E-4</v>
      </c>
    </row>
    <row r="33" spans="1:5" x14ac:dyDescent="0.25">
      <c r="A33">
        <v>2.7506829583750001</v>
      </c>
      <c r="B33">
        <v>3.7887073006501591E-2</v>
      </c>
      <c r="C33">
        <f t="shared" si="0"/>
        <v>3.9615977039313556E-2</v>
      </c>
      <c r="D33">
        <f t="shared" si="1"/>
        <v>-1.7289040328119648E-3</v>
      </c>
      <c r="E33">
        <f t="shared" si="2"/>
        <v>2.9891091546734753E-6</v>
      </c>
    </row>
    <row r="34" spans="1:5" x14ac:dyDescent="0.25">
      <c r="A34">
        <v>2.8352745231249998</v>
      </c>
      <c r="B34">
        <v>5.79449351864142E-2</v>
      </c>
      <c r="C34">
        <f t="shared" si="0"/>
        <v>3.3180310971254345E-2</v>
      </c>
      <c r="D34">
        <f t="shared" si="1"/>
        <v>2.4764624215159854E-2</v>
      </c>
      <c r="E34">
        <f t="shared" si="2"/>
        <v>6.1328661251808182E-4</v>
      </c>
    </row>
    <row r="35" spans="1:5" x14ac:dyDescent="0.25">
      <c r="A35">
        <v>2.919866087875</v>
      </c>
      <c r="B35">
        <v>3.7887073006501591E-2</v>
      </c>
      <c r="C35">
        <f t="shared" si="0"/>
        <v>2.768893278576284E-2</v>
      </c>
      <c r="D35">
        <f t="shared" si="1"/>
        <v>1.0198140220738752E-2</v>
      </c>
      <c r="E35">
        <f t="shared" si="2"/>
        <v>1.0400206396184943E-4</v>
      </c>
    </row>
    <row r="36" spans="1:5" x14ac:dyDescent="0.25">
      <c r="A36">
        <v>3.0044576526250002</v>
      </c>
      <c r="B36">
        <v>2.3772281102118646E-2</v>
      </c>
      <c r="C36">
        <f t="shared" si="0"/>
        <v>2.302385322320518E-2</v>
      </c>
      <c r="D36">
        <f t="shared" si="1"/>
        <v>7.4842787891346574E-4</v>
      </c>
      <c r="E36">
        <f t="shared" si="2"/>
        <v>5.6014428993490931E-7</v>
      </c>
    </row>
    <row r="37" spans="1:5" x14ac:dyDescent="0.25">
      <c r="A37">
        <v>3.0890492173750004</v>
      </c>
      <c r="B37">
        <v>1.4857675688824155E-2</v>
      </c>
      <c r="C37">
        <f t="shared" si="0"/>
        <v>1.9077629400651861E-2</v>
      </c>
      <c r="D37">
        <f t="shared" si="1"/>
        <v>-4.2199537118277064E-3</v>
      </c>
      <c r="E37">
        <f t="shared" si="2"/>
        <v>1.7808009329968438E-5</v>
      </c>
    </row>
    <row r="38" spans="1:5" x14ac:dyDescent="0.25">
      <c r="A38">
        <v>3.1736407821250001</v>
      </c>
      <c r="B38">
        <v>0</v>
      </c>
      <c r="C38">
        <f t="shared" si="0"/>
        <v>1.575333112269104E-2</v>
      </c>
      <c r="D38">
        <f t="shared" si="1"/>
        <v>-1.575333112269104E-2</v>
      </c>
      <c r="E38">
        <f t="shared" si="2"/>
        <v>2.4816744146114616E-4</v>
      </c>
    </row>
    <row r="39" spans="1:5" x14ac:dyDescent="0.25">
      <c r="A39">
        <v>3.2582323468749999</v>
      </c>
      <c r="B39">
        <v>0</v>
      </c>
      <c r="C39">
        <f t="shared" si="0"/>
        <v>1.2964253521230177E-2</v>
      </c>
      <c r="D39">
        <f t="shared" si="1"/>
        <v>-1.2964253521230177E-2</v>
      </c>
      <c r="E39">
        <f t="shared" si="2"/>
        <v>1.6807186936272905E-4</v>
      </c>
    </row>
    <row r="40" spans="1:5" x14ac:dyDescent="0.25">
      <c r="A40">
        <v>3.342823911625</v>
      </c>
      <c r="B40">
        <v>7.4288378444120769E-4</v>
      </c>
      <c r="C40">
        <f t="shared" si="0"/>
        <v>1.0633443828282602E-2</v>
      </c>
      <c r="D40">
        <f t="shared" si="1"/>
        <v>-9.8905600438413937E-3</v>
      </c>
      <c r="E40">
        <f t="shared" si="2"/>
        <v>9.782317798083187E-5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7EEB-3C92-44C6-A0DE-710BC428B2E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7.9911045075000006E-2</v>
      </c>
      <c r="B1">
        <v>0.14482741267805477</v>
      </c>
      <c r="C1">
        <f>$H$3*(1+$H$1)*(A1^($H$1))*EXP(-$H$3*(A1^(1+$H$1)))</f>
        <v>0.27780828162534293</v>
      </c>
      <c r="D1">
        <f>B1-C1</f>
        <v>-0.13298086894728817</v>
      </c>
      <c r="E1">
        <f>D1^2</f>
        <v>1.7683911505975831E-2</v>
      </c>
      <c r="G1" t="s">
        <v>0</v>
      </c>
      <c r="H1">
        <v>0.62193049966576452</v>
      </c>
    </row>
    <row r="2" spans="1:8" x14ac:dyDescent="0.25">
      <c r="A2">
        <v>0.16149078322500002</v>
      </c>
      <c r="B2">
        <v>0.42600829367534193</v>
      </c>
      <c r="C2">
        <f t="shared" ref="C2:C40" si="0">$H$3*(1+$H$1)*(A2^($H$1))*EXP(-$H$3*(A2^(1+$H$1)))</f>
        <v>0.4177640438353466</v>
      </c>
      <c r="D2">
        <f t="shared" ref="D2:D40" si="1">B2-C2</f>
        <v>8.2442498399953323E-3</v>
      </c>
      <c r="E2">
        <f t="shared" ref="E2:E40" si="2">D2^2</f>
        <v>6.7967655424263062E-5</v>
      </c>
    </row>
    <row r="3" spans="1:8" x14ac:dyDescent="0.25">
      <c r="A3">
        <v>0.24307052137500001</v>
      </c>
      <c r="B3">
        <v>0.47068909120367797</v>
      </c>
      <c r="C3">
        <f t="shared" si="0"/>
        <v>0.51715688804447713</v>
      </c>
      <c r="D3">
        <f t="shared" si="1"/>
        <v>-4.6467796840799158E-2</v>
      </c>
      <c r="E3">
        <f t="shared" si="2"/>
        <v>2.1592561432377841E-3</v>
      </c>
      <c r="G3" t="s">
        <v>1</v>
      </c>
      <c r="H3">
        <f>(_xlfn.GAMMA((2+$H$1)/(1+$H$1)))^(1+$H$1)</f>
        <v>0.83607004333270973</v>
      </c>
    </row>
    <row r="4" spans="1:8" x14ac:dyDescent="0.25">
      <c r="A4">
        <v>0.32465025952500004</v>
      </c>
      <c r="B4">
        <v>0.50304415148281789</v>
      </c>
      <c r="C4">
        <f t="shared" si="0"/>
        <v>0.58864392492168283</v>
      </c>
      <c r="D4">
        <f t="shared" si="1"/>
        <v>-8.5599773438864935E-2</v>
      </c>
      <c r="E4">
        <f t="shared" si="2"/>
        <v>7.327321212785007E-3</v>
      </c>
    </row>
    <row r="5" spans="1:8" x14ac:dyDescent="0.25">
      <c r="A5">
        <v>0.40622999767500001</v>
      </c>
      <c r="B5">
        <v>0.61859793819403175</v>
      </c>
      <c r="C5">
        <f t="shared" si="0"/>
        <v>0.63785983967562476</v>
      </c>
      <c r="D5">
        <f t="shared" si="1"/>
        <v>-1.9261901481593013E-2</v>
      </c>
      <c r="E5">
        <f t="shared" si="2"/>
        <v>3.7102084868659513E-4</v>
      </c>
      <c r="G5" t="s">
        <v>2</v>
      </c>
      <c r="H5">
        <f>SUM(E1:E40)</f>
        <v>0.31755588236132815</v>
      </c>
    </row>
    <row r="6" spans="1:8" x14ac:dyDescent="0.25">
      <c r="A6">
        <v>0.48780973582500003</v>
      </c>
      <c r="B6">
        <v>0.77112893665283411</v>
      </c>
      <c r="C6">
        <f t="shared" si="0"/>
        <v>0.66841525490800624</v>
      </c>
      <c r="D6">
        <f t="shared" si="1"/>
        <v>0.10271368174482787</v>
      </c>
      <c r="E6">
        <f t="shared" si="2"/>
        <v>1.0550100417577785E-2</v>
      </c>
    </row>
    <row r="7" spans="1:8" x14ac:dyDescent="0.25">
      <c r="A7">
        <v>0.56938947397500006</v>
      </c>
      <c r="B7">
        <v>1.0731094992581398</v>
      </c>
      <c r="C7">
        <f t="shared" si="0"/>
        <v>0.68313105113284711</v>
      </c>
      <c r="D7">
        <f t="shared" si="1"/>
        <v>0.3899784481252927</v>
      </c>
      <c r="E7">
        <f t="shared" si="2"/>
        <v>0.1520831900022116</v>
      </c>
    </row>
    <row r="8" spans="1:8" x14ac:dyDescent="0.25">
      <c r="A8">
        <v>0.65096921212500003</v>
      </c>
      <c r="B8">
        <v>0.94908176818810353</v>
      </c>
      <c r="C8">
        <f t="shared" si="0"/>
        <v>0.6844482671690042</v>
      </c>
      <c r="D8">
        <f t="shared" si="1"/>
        <v>0.26463350101909933</v>
      </c>
      <c r="E8">
        <f t="shared" si="2"/>
        <v>7.0030889861625645E-2</v>
      </c>
    </row>
    <row r="9" spans="1:8" x14ac:dyDescent="0.25">
      <c r="A9">
        <v>0.732548950275</v>
      </c>
      <c r="B9">
        <v>0.70641881609455437</v>
      </c>
      <c r="C9">
        <f t="shared" si="0"/>
        <v>0.67457842236351018</v>
      </c>
      <c r="D9">
        <f t="shared" si="1"/>
        <v>3.1840393731044192E-2</v>
      </c>
      <c r="E9">
        <f t="shared" si="2"/>
        <v>1.0138106729479183E-3</v>
      </c>
    </row>
    <row r="10" spans="1:8" x14ac:dyDescent="0.25">
      <c r="A10">
        <v>0.81412868842500008</v>
      </c>
      <c r="B10">
        <v>0.58855395364911622</v>
      </c>
      <c r="C10">
        <f t="shared" si="0"/>
        <v>0.65555638302947361</v>
      </c>
      <c r="D10">
        <f t="shared" si="1"/>
        <v>-6.7002429380357387E-2</v>
      </c>
      <c r="E10">
        <f t="shared" si="2"/>
        <v>4.4893255428697784E-3</v>
      </c>
    </row>
    <row r="11" spans="1:8" x14ac:dyDescent="0.25">
      <c r="A11">
        <v>0.89570842657500016</v>
      </c>
      <c r="B11">
        <v>0.58855395364911622</v>
      </c>
      <c r="C11">
        <f t="shared" si="0"/>
        <v>0.62925403611795272</v>
      </c>
      <c r="D11">
        <f t="shared" si="1"/>
        <v>-4.0700082468836496E-2</v>
      </c>
      <c r="E11">
        <f t="shared" si="2"/>
        <v>1.656496712970092E-3</v>
      </c>
    </row>
    <row r="12" spans="1:8" x14ac:dyDescent="0.25">
      <c r="A12">
        <v>0.97728816472500002</v>
      </c>
      <c r="B12">
        <v>0.53539921176195782</v>
      </c>
      <c r="C12">
        <f t="shared" si="0"/>
        <v>0.59737889796990828</v>
      </c>
      <c r="D12">
        <f t="shared" si="1"/>
        <v>-6.1979686207950468E-2</v>
      </c>
      <c r="E12">
        <f t="shared" si="2"/>
        <v>3.8414815024360054E-3</v>
      </c>
    </row>
    <row r="13" spans="1:8" x14ac:dyDescent="0.25">
      <c r="A13">
        <v>1.0588679028750001</v>
      </c>
      <c r="B13">
        <v>0.47685195982827605</v>
      </c>
      <c r="C13">
        <f t="shared" si="0"/>
        <v>0.56146852647952539</v>
      </c>
      <c r="D13">
        <f t="shared" si="1"/>
        <v>-8.4616566651249336E-2</v>
      </c>
      <c r="E13">
        <f t="shared" si="2"/>
        <v>7.1599633518453212E-3</v>
      </c>
    </row>
    <row r="14" spans="1:8" x14ac:dyDescent="0.25">
      <c r="A14">
        <v>1.1404476410250002</v>
      </c>
      <c r="B14">
        <v>0.41368255642614576</v>
      </c>
      <c r="C14">
        <f t="shared" si="0"/>
        <v>0.52288576866889314</v>
      </c>
      <c r="D14">
        <f t="shared" si="1"/>
        <v>-0.10920321224274737</v>
      </c>
      <c r="E14">
        <f t="shared" si="2"/>
        <v>1.192534156413453E-2</v>
      </c>
    </row>
    <row r="15" spans="1:8" x14ac:dyDescent="0.25">
      <c r="A15">
        <v>1.222027379175</v>
      </c>
      <c r="B15">
        <v>0.40520861206732345</v>
      </c>
      <c r="C15">
        <f t="shared" si="0"/>
        <v>0.48281705098221822</v>
      </c>
      <c r="D15">
        <f t="shared" si="1"/>
        <v>-7.7608438914894773E-2</v>
      </c>
      <c r="E15">
        <f t="shared" si="2"/>
        <v>6.0230697908069536E-3</v>
      </c>
    </row>
    <row r="16" spans="1:8" x14ac:dyDescent="0.25">
      <c r="A16">
        <v>1.3036071173250001</v>
      </c>
      <c r="B16">
        <v>0.37670534467855732</v>
      </c>
      <c r="C16">
        <f t="shared" si="0"/>
        <v>0.44227445815140798</v>
      </c>
      <c r="D16">
        <f t="shared" si="1"/>
        <v>-6.556911347285066E-2</v>
      </c>
      <c r="E16">
        <f t="shared" si="2"/>
        <v>4.2993086416155662E-3</v>
      </c>
    </row>
    <row r="17" spans="1:5" x14ac:dyDescent="0.25">
      <c r="A17">
        <v>1.3851868554750002</v>
      </c>
      <c r="B17">
        <v>0.368231400319735</v>
      </c>
      <c r="C17">
        <f t="shared" si="0"/>
        <v>0.40210156397352609</v>
      </c>
      <c r="D17">
        <f t="shared" si="1"/>
        <v>-3.3870163653791086E-2</v>
      </c>
      <c r="E17">
        <f t="shared" si="2"/>
        <v>1.1471879859345907E-3</v>
      </c>
    </row>
    <row r="18" spans="1:5" x14ac:dyDescent="0.25">
      <c r="A18">
        <v>1.4667665936250001</v>
      </c>
      <c r="B18">
        <v>0.3019805626053057</v>
      </c>
      <c r="C18">
        <f t="shared" si="0"/>
        <v>0.36298256238688553</v>
      </c>
      <c r="D18">
        <f t="shared" si="1"/>
        <v>-6.100199978157983E-2</v>
      </c>
      <c r="E18">
        <f t="shared" si="2"/>
        <v>3.7212439773518656E-3</v>
      </c>
    </row>
    <row r="19" spans="1:5" x14ac:dyDescent="0.25">
      <c r="A19">
        <v>1.5483463317750001</v>
      </c>
      <c r="B19">
        <v>0.2650033508577172</v>
      </c>
      <c r="C19">
        <f t="shared" si="0"/>
        <v>0.32545404533155914</v>
      </c>
      <c r="D19">
        <f t="shared" si="1"/>
        <v>-6.0450694473841937E-2</v>
      </c>
      <c r="E19">
        <f t="shared" si="2"/>
        <v>3.654286462369784E-3</v>
      </c>
    </row>
    <row r="20" spans="1:5" x14ac:dyDescent="0.25">
      <c r="A20">
        <v>1.6299260699250002</v>
      </c>
      <c r="B20">
        <v>0.29966948687108141</v>
      </c>
      <c r="C20">
        <f t="shared" si="0"/>
        <v>0.28991870153629845</v>
      </c>
      <c r="D20">
        <f t="shared" si="1"/>
        <v>9.7507853347829632E-3</v>
      </c>
      <c r="E20">
        <f t="shared" si="2"/>
        <v>9.5077814645018501E-5</v>
      </c>
    </row>
    <row r="21" spans="1:5" x14ac:dyDescent="0.25">
      <c r="A21">
        <v>1.7115058080750001</v>
      </c>
      <c r="B21">
        <v>0.25498868934274538</v>
      </c>
      <c r="C21">
        <f t="shared" si="0"/>
        <v>0.25666021855148574</v>
      </c>
      <c r="D21">
        <f t="shared" si="1"/>
        <v>-1.6715292087403633E-3</v>
      </c>
      <c r="E21">
        <f t="shared" si="2"/>
        <v>2.7940098956721849E-6</v>
      </c>
    </row>
    <row r="22" spans="1:5" x14ac:dyDescent="0.25">
      <c r="A22">
        <v>1.7930855462250002</v>
      </c>
      <c r="B22">
        <v>0.21878183617323166</v>
      </c>
      <c r="C22">
        <f t="shared" si="0"/>
        <v>0.225858728005392</v>
      </c>
      <c r="D22">
        <f t="shared" si="1"/>
        <v>-7.0768918321603425E-3</v>
      </c>
      <c r="E22">
        <f t="shared" si="2"/>
        <v>5.0082398004097771E-5</v>
      </c>
    </row>
    <row r="23" spans="1:5" x14ac:dyDescent="0.25">
      <c r="A23">
        <v>1.8746652843750002</v>
      </c>
      <c r="B23">
        <v>0.1933600030967646</v>
      </c>
      <c r="C23">
        <f t="shared" si="0"/>
        <v>0.19760622035255507</v>
      </c>
      <c r="D23">
        <f t="shared" si="1"/>
        <v>-4.2462172557904687E-3</v>
      </c>
      <c r="E23">
        <f t="shared" si="2"/>
        <v>1.8030360983372739E-5</v>
      </c>
    </row>
    <row r="24" spans="1:5" x14ac:dyDescent="0.25">
      <c r="A24">
        <v>1.9562450225250001</v>
      </c>
      <c r="B24">
        <v>0.20645609892403552</v>
      </c>
      <c r="C24">
        <f t="shared" si="0"/>
        <v>0.1719214557736298</v>
      </c>
      <c r="D24">
        <f t="shared" si="1"/>
        <v>3.4534643150405719E-2</v>
      </c>
      <c r="E24">
        <f t="shared" si="2"/>
        <v>1.1926415775258647E-3</v>
      </c>
    </row>
    <row r="25" spans="1:5" x14ac:dyDescent="0.25">
      <c r="A25">
        <v>2.037824760675</v>
      </c>
      <c r="B25">
        <v>0.1648567357079985</v>
      </c>
      <c r="C25">
        <f t="shared" si="0"/>
        <v>0.14876400209997453</v>
      </c>
      <c r="D25">
        <f t="shared" si="1"/>
        <v>1.6092733608023962E-2</v>
      </c>
      <c r="E25">
        <f t="shared" si="2"/>
        <v>2.5897607497882394E-4</v>
      </c>
    </row>
    <row r="26" spans="1:5" x14ac:dyDescent="0.25">
      <c r="A26">
        <v>2.1194044988250003</v>
      </c>
      <c r="B26">
        <v>0.1594642256614752</v>
      </c>
      <c r="C26">
        <f t="shared" si="0"/>
        <v>0.12804713148597674</v>
      </c>
      <c r="D26">
        <f t="shared" si="1"/>
        <v>3.1417094175498456E-2</v>
      </c>
      <c r="E26">
        <f t="shared" si="2"/>
        <v>9.8703380643213896E-4</v>
      </c>
    </row>
    <row r="27" spans="1:5" x14ac:dyDescent="0.25">
      <c r="A27">
        <v>2.2009842369750006</v>
      </c>
      <c r="B27">
        <v>0.12942024111655959</v>
      </c>
      <c r="C27">
        <f t="shared" si="0"/>
        <v>0.10964940020034132</v>
      </c>
      <c r="D27">
        <f t="shared" si="1"/>
        <v>1.9770840916218266E-2</v>
      </c>
      <c r="E27">
        <f t="shared" si="2"/>
        <v>3.9088615053441031E-4</v>
      </c>
    </row>
    <row r="28" spans="1:5" x14ac:dyDescent="0.25">
      <c r="A28">
        <v>2.282563975125</v>
      </c>
      <c r="B28">
        <v>0.12942024111655959</v>
      </c>
      <c r="C28">
        <f t="shared" si="0"/>
        <v>9.3424817349164108E-2</v>
      </c>
      <c r="D28">
        <f t="shared" si="1"/>
        <v>3.5995423767395479E-2</v>
      </c>
      <c r="E28">
        <f t="shared" si="2"/>
        <v>1.2956705321943793E-3</v>
      </c>
    </row>
    <row r="29" spans="1:5" x14ac:dyDescent="0.25">
      <c r="A29">
        <v>2.3641437132750003</v>
      </c>
      <c r="B29">
        <v>9.9376256571643964E-2</v>
      </c>
      <c r="C29">
        <f t="shared" si="0"/>
        <v>7.9211577005791636E-2</v>
      </c>
      <c r="D29">
        <f t="shared" si="1"/>
        <v>2.0164679565852328E-2</v>
      </c>
      <c r="E29">
        <f t="shared" si="2"/>
        <v>4.0661430199350244E-4</v>
      </c>
    </row>
    <row r="30" spans="1:5" x14ac:dyDescent="0.25">
      <c r="A30">
        <v>2.4457234514250006</v>
      </c>
      <c r="B30">
        <v>0.10091697372779349</v>
      </c>
      <c r="C30">
        <f t="shared" si="0"/>
        <v>6.6839383635350857E-2</v>
      </c>
      <c r="D30">
        <f t="shared" si="1"/>
        <v>3.4077590092442628E-2</v>
      </c>
      <c r="E30">
        <f t="shared" si="2"/>
        <v>1.161282146508544E-3</v>
      </c>
    </row>
    <row r="31" spans="1:5" x14ac:dyDescent="0.25">
      <c r="A31">
        <v>2.527303189575</v>
      </c>
      <c r="B31">
        <v>8.0117292119774974E-2</v>
      </c>
      <c r="C31">
        <f t="shared" si="0"/>
        <v>5.6135443218413406E-2</v>
      </c>
      <c r="D31">
        <f t="shared" si="1"/>
        <v>2.3981848901361569E-2</v>
      </c>
      <c r="E31">
        <f t="shared" si="2"/>
        <v>5.7512907672773708E-4</v>
      </c>
    </row>
    <row r="32" spans="1:5" x14ac:dyDescent="0.25">
      <c r="A32">
        <v>2.6088829277250003</v>
      </c>
      <c r="B32">
        <v>6.4710120558279793E-2</v>
      </c>
      <c r="C32">
        <f t="shared" si="0"/>
        <v>4.6929223034887307E-2</v>
      </c>
      <c r="D32">
        <f t="shared" si="1"/>
        <v>1.7780897523392486E-2</v>
      </c>
      <c r="E32">
        <f t="shared" si="2"/>
        <v>3.1616031673738503E-4</v>
      </c>
    </row>
    <row r="33" spans="1:5" x14ac:dyDescent="0.25">
      <c r="A33">
        <v>2.6904626658750002</v>
      </c>
      <c r="B33">
        <v>6.2399044824055512E-2</v>
      </c>
      <c r="C33">
        <f t="shared" si="0"/>
        <v>3.9056102982720241E-2</v>
      </c>
      <c r="D33">
        <f t="shared" si="1"/>
        <v>2.3342941841335271E-2</v>
      </c>
      <c r="E33">
        <f t="shared" si="2"/>
        <v>5.4489293380796092E-4</v>
      </c>
    </row>
    <row r="34" spans="1:5" x14ac:dyDescent="0.25">
      <c r="A34">
        <v>2.772042404025</v>
      </c>
      <c r="B34">
        <v>4.5451156106410803E-2</v>
      </c>
      <c r="C34">
        <f t="shared" si="0"/>
        <v>3.2360052106059613E-2</v>
      </c>
      <c r="D34">
        <f t="shared" si="1"/>
        <v>1.3091104000351191E-2</v>
      </c>
      <c r="E34">
        <f t="shared" si="2"/>
        <v>1.7137700394801095E-4</v>
      </c>
    </row>
    <row r="35" spans="1:5" x14ac:dyDescent="0.25">
      <c r="A35">
        <v>2.8536221421750003</v>
      </c>
      <c r="B35">
        <v>3.3895777435289411E-2</v>
      </c>
      <c r="C35">
        <f t="shared" si="0"/>
        <v>2.669546730221449E-2</v>
      </c>
      <c r="D35">
        <f t="shared" si="1"/>
        <v>7.2003101330749206E-3</v>
      </c>
      <c r="E35">
        <f t="shared" si="2"/>
        <v>5.1844466012461381E-5</v>
      </c>
    </row>
    <row r="36" spans="1:5" x14ac:dyDescent="0.25">
      <c r="A36">
        <v>2.9352018803250002</v>
      </c>
      <c r="B36">
        <v>3.0814343122990376E-2</v>
      </c>
      <c r="C36">
        <f t="shared" si="0"/>
        <v>2.1928308549289913E-2</v>
      </c>
      <c r="D36">
        <f t="shared" si="1"/>
        <v>8.8860345737004631E-3</v>
      </c>
      <c r="E36">
        <f t="shared" si="2"/>
        <v>7.8961610444999974E-5</v>
      </c>
    </row>
    <row r="37" spans="1:5" x14ac:dyDescent="0.25">
      <c r="A37">
        <v>3.016781618475</v>
      </c>
      <c r="B37">
        <v>0</v>
      </c>
      <c r="C37">
        <f t="shared" si="0"/>
        <v>1.7936657929941691E-2</v>
      </c>
      <c r="D37">
        <f t="shared" si="1"/>
        <v>-1.7936657929941691E-2</v>
      </c>
      <c r="E37">
        <f t="shared" si="2"/>
        <v>3.2172369769574015E-4</v>
      </c>
    </row>
    <row r="38" spans="1:5" x14ac:dyDescent="0.25">
      <c r="A38">
        <v>3.0983613566250003</v>
      </c>
      <c r="B38">
        <v>0</v>
      </c>
      <c r="C38">
        <f t="shared" si="0"/>
        <v>1.4610819554280272E-2</v>
      </c>
      <c r="D38">
        <f t="shared" si="1"/>
        <v>-1.4610819554280272E-2</v>
      </c>
      <c r="E38">
        <f t="shared" si="2"/>
        <v>2.1347604804773876E-4</v>
      </c>
    </row>
    <row r="39" spans="1:5" x14ac:dyDescent="0.25">
      <c r="A39">
        <v>3.1799410947750002</v>
      </c>
      <c r="B39">
        <v>0</v>
      </c>
      <c r="C39">
        <f t="shared" si="0"/>
        <v>1.1853065359893384E-2</v>
      </c>
      <c r="D39">
        <f t="shared" si="1"/>
        <v>-1.1853065359893384E-2</v>
      </c>
      <c r="E39">
        <f t="shared" si="2"/>
        <v>1.4049515842590448E-4</v>
      </c>
    </row>
    <row r="40" spans="1:5" x14ac:dyDescent="0.25">
      <c r="A40">
        <v>3.2615208329250001</v>
      </c>
      <c r="B40">
        <v>7.7035857807475935E-4</v>
      </c>
      <c r="C40">
        <f t="shared" si="0"/>
        <v>9.5771186507420652E-3</v>
      </c>
      <c r="D40">
        <f t="shared" si="1"/>
        <v>-8.8067600726673065E-3</v>
      </c>
      <c r="E40">
        <f t="shared" si="2"/>
        <v>7.7559022977527061E-5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22CB-B971-4270-BEBB-86040A5760C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9.2079570449999981E-2</v>
      </c>
      <c r="B1">
        <v>0.11966442344554225</v>
      </c>
      <c r="C1">
        <f>$H$3*(1+$H$1)*(A1^($H$1))*EXP(-$H$3*(A1^(1+$H$1)))</f>
        <v>0.25706769834913423</v>
      </c>
      <c r="D1">
        <f>B1-C1</f>
        <v>-0.137403274903592</v>
      </c>
      <c r="E1">
        <f>D1^2</f>
        <v>1.8879659954232075E-2</v>
      </c>
      <c r="G1" t="s">
        <v>0</v>
      </c>
      <c r="H1">
        <v>0.70584679396666372</v>
      </c>
    </row>
    <row r="2" spans="1:8" x14ac:dyDescent="0.25">
      <c r="A2">
        <v>0.17138211534999997</v>
      </c>
      <c r="B2">
        <v>0.38276765910064176</v>
      </c>
      <c r="C2">
        <f t="shared" ref="C2:C40" si="0">$H$3*(1+$H$1)*(A2^($H$1))*EXP(-$H$3*(A2^(1+$H$1)))</f>
        <v>0.38811638715304814</v>
      </c>
      <c r="D2">
        <f t="shared" ref="D2:D40" si="1">B2-C2</f>
        <v>-5.3487280524063818E-3</v>
      </c>
      <c r="E2">
        <f t="shared" ref="E2:E40" si="2">D2^2</f>
        <v>2.8608891778598965E-5</v>
      </c>
    </row>
    <row r="3" spans="1:8" x14ac:dyDescent="0.25">
      <c r="A3">
        <v>0.25068466025000002</v>
      </c>
      <c r="B3">
        <v>0.50005464366978247</v>
      </c>
      <c r="C3">
        <f t="shared" si="0"/>
        <v>0.48914453477933456</v>
      </c>
      <c r="D3">
        <f t="shared" si="1"/>
        <v>1.0910108890447912E-2</v>
      </c>
      <c r="E3">
        <f t="shared" si="2"/>
        <v>1.1903047600143056E-4</v>
      </c>
      <c r="G3" t="s">
        <v>1</v>
      </c>
      <c r="H3">
        <f>(_xlfn.GAMMA((2+$H$1)/(1+$H$1)))^(1+$H$1)</f>
        <v>0.8229269362192011</v>
      </c>
    </row>
    <row r="4" spans="1:8" x14ac:dyDescent="0.25">
      <c r="A4">
        <v>0.32998720515000002</v>
      </c>
      <c r="B4">
        <v>0.48975240853870933</v>
      </c>
      <c r="C4">
        <f t="shared" si="0"/>
        <v>0.56690574002906291</v>
      </c>
      <c r="D4">
        <f t="shared" si="1"/>
        <v>-7.7153331490353583E-2</v>
      </c>
      <c r="E4">
        <f t="shared" si="2"/>
        <v>5.952636560060386E-3</v>
      </c>
    </row>
    <row r="5" spans="1:8" x14ac:dyDescent="0.25">
      <c r="A5">
        <v>0.40928975005000001</v>
      </c>
      <c r="B5">
        <v>0.61100179123518594</v>
      </c>
      <c r="C5">
        <f t="shared" si="0"/>
        <v>0.62458534890256023</v>
      </c>
      <c r="D5">
        <f t="shared" si="1"/>
        <v>-1.3583557667374291E-2</v>
      </c>
      <c r="E5">
        <f t="shared" si="2"/>
        <v>1.845130389028829E-4</v>
      </c>
      <c r="G5" t="s">
        <v>2</v>
      </c>
      <c r="H5">
        <f>SUM(E1:E40)</f>
        <v>0.32210499125192782</v>
      </c>
    </row>
    <row r="6" spans="1:8" x14ac:dyDescent="0.25">
      <c r="A6">
        <v>0.48859229495000001</v>
      </c>
      <c r="B6">
        <v>0.64428593550480695</v>
      </c>
      <c r="C6">
        <f t="shared" si="0"/>
        <v>0.66438394088215669</v>
      </c>
      <c r="D6">
        <f t="shared" si="1"/>
        <v>-2.0098005377349737E-2</v>
      </c>
      <c r="E6">
        <f t="shared" si="2"/>
        <v>4.0392982014797896E-4</v>
      </c>
    </row>
    <row r="7" spans="1:8" x14ac:dyDescent="0.25">
      <c r="A7">
        <v>0.56789483984999989</v>
      </c>
      <c r="B7">
        <v>0.92086132479284832</v>
      </c>
      <c r="C7">
        <f t="shared" si="0"/>
        <v>0.68820658089149767</v>
      </c>
      <c r="D7">
        <f t="shared" si="1"/>
        <v>0.23265474390135066</v>
      </c>
      <c r="E7">
        <f t="shared" si="2"/>
        <v>5.4128229859803062E-2</v>
      </c>
    </row>
    <row r="8" spans="1:8" x14ac:dyDescent="0.25">
      <c r="A8">
        <v>0.64719738474999988</v>
      </c>
      <c r="B8">
        <v>1.0777722906353473</v>
      </c>
      <c r="C8">
        <f t="shared" si="0"/>
        <v>0.69788433255263427</v>
      </c>
      <c r="D8">
        <f t="shared" si="1"/>
        <v>0.37988795808271303</v>
      </c>
      <c r="E8">
        <f t="shared" si="2"/>
        <v>0.14431486069625313</v>
      </c>
    </row>
    <row r="9" spans="1:8" x14ac:dyDescent="0.25">
      <c r="A9">
        <v>0.72649992964999999</v>
      </c>
      <c r="B9">
        <v>0.87806742501762125</v>
      </c>
      <c r="C9">
        <f t="shared" si="0"/>
        <v>0.6952378564272631</v>
      </c>
      <c r="D9">
        <f t="shared" si="1"/>
        <v>0.18282956859035815</v>
      </c>
      <c r="E9">
        <f t="shared" si="2"/>
        <v>3.3426651150936473E-2</v>
      </c>
    </row>
    <row r="10" spans="1:8" x14ac:dyDescent="0.25">
      <c r="A10">
        <v>0.80580247454999998</v>
      </c>
      <c r="B10">
        <v>0.67043776314522341</v>
      </c>
      <c r="C10">
        <f t="shared" si="0"/>
        <v>0.68207918135220769</v>
      </c>
      <c r="D10">
        <f t="shared" si="1"/>
        <v>-1.1641418206984278E-2</v>
      </c>
      <c r="E10">
        <f t="shared" si="2"/>
        <v>1.3552261786990504E-4</v>
      </c>
    </row>
    <row r="11" spans="1:8" x14ac:dyDescent="0.25">
      <c r="A11">
        <v>0.88510501945000009</v>
      </c>
      <c r="B11">
        <v>0.61734162823892325</v>
      </c>
      <c r="C11">
        <f t="shared" si="0"/>
        <v>0.66018869454760176</v>
      </c>
      <c r="D11">
        <f t="shared" si="1"/>
        <v>-4.2847066308678516E-2</v>
      </c>
      <c r="E11">
        <f t="shared" si="2"/>
        <v>1.8358710912602936E-3</v>
      </c>
    </row>
    <row r="12" spans="1:8" x14ac:dyDescent="0.25">
      <c r="A12">
        <v>0.96440756435000008</v>
      </c>
      <c r="B12">
        <v>0.59515219872584257</v>
      </c>
      <c r="C12">
        <f t="shared" si="0"/>
        <v>0.63128390999392103</v>
      </c>
      <c r="D12">
        <f t="shared" si="1"/>
        <v>-3.6131711268078459E-2</v>
      </c>
      <c r="E12">
        <f t="shared" si="2"/>
        <v>1.3055005591597879E-3</v>
      </c>
    </row>
    <row r="13" spans="1:8" x14ac:dyDescent="0.25">
      <c r="A13">
        <v>1.0437101092500001</v>
      </c>
      <c r="B13">
        <v>0.49926216404431534</v>
      </c>
      <c r="C13">
        <f t="shared" si="0"/>
        <v>0.59698814503730568</v>
      </c>
      <c r="D13">
        <f t="shared" si="1"/>
        <v>-9.7725980992990347E-2</v>
      </c>
      <c r="E13">
        <f t="shared" si="2"/>
        <v>9.5503673610423112E-3</v>
      </c>
    </row>
    <row r="14" spans="1:8" x14ac:dyDescent="0.25">
      <c r="A14">
        <v>1.1230126541500001</v>
      </c>
      <c r="B14">
        <v>0.43903371250881063</v>
      </c>
      <c r="C14">
        <f t="shared" si="0"/>
        <v>0.55880323895700512</v>
      </c>
      <c r="D14">
        <f t="shared" si="1"/>
        <v>-0.1197695264481945</v>
      </c>
      <c r="E14">
        <f t="shared" si="2"/>
        <v>1.4344739465624761E-2</v>
      </c>
    </row>
    <row r="15" spans="1:8" x14ac:dyDescent="0.25">
      <c r="A15">
        <v>1.2023151990499998</v>
      </c>
      <c r="B15">
        <v>0.43982619213427782</v>
      </c>
      <c r="C15">
        <f t="shared" si="0"/>
        <v>0.51808831225732643</v>
      </c>
      <c r="D15">
        <f t="shared" si="1"/>
        <v>-7.8262120123048617E-2</v>
      </c>
      <c r="E15">
        <f t="shared" si="2"/>
        <v>6.1249594461544911E-3</v>
      </c>
    </row>
    <row r="16" spans="1:8" x14ac:dyDescent="0.25">
      <c r="A16">
        <v>1.2816177439500001</v>
      </c>
      <c r="B16">
        <v>0.40495708861372243</v>
      </c>
      <c r="C16">
        <f t="shared" si="0"/>
        <v>0.47604531443880943</v>
      </c>
      <c r="D16">
        <f t="shared" si="1"/>
        <v>-7.1088225825087004E-2</v>
      </c>
      <c r="E16">
        <f t="shared" si="2"/>
        <v>5.0535358509585671E-3</v>
      </c>
    </row>
    <row r="17" spans="1:5" x14ac:dyDescent="0.25">
      <c r="A17">
        <v>1.36092028885</v>
      </c>
      <c r="B17">
        <v>0.35978574996209389</v>
      </c>
      <c r="C17">
        <f t="shared" si="0"/>
        <v>0.43371133181984084</v>
      </c>
      <c r="D17">
        <f t="shared" si="1"/>
        <v>-7.3925581857746947E-2</v>
      </c>
      <c r="E17">
        <f t="shared" si="2"/>
        <v>5.4649916530064447E-3</v>
      </c>
    </row>
    <row r="18" spans="1:5" x14ac:dyDescent="0.25">
      <c r="A18">
        <v>1.44022283375</v>
      </c>
      <c r="B18">
        <v>0.32491664644153856</v>
      </c>
      <c r="C18">
        <f t="shared" si="0"/>
        <v>0.39195713798016779</v>
      </c>
      <c r="D18">
        <f t="shared" si="1"/>
        <v>-6.7040491538629232E-2</v>
      </c>
      <c r="E18">
        <f t="shared" si="2"/>
        <v>4.4944275057410173E-3</v>
      </c>
    </row>
    <row r="19" spans="1:5" x14ac:dyDescent="0.25">
      <c r="A19">
        <v>1.51952537865</v>
      </c>
      <c r="B19">
        <v>0.284500185542713</v>
      </c>
      <c r="C19">
        <f t="shared" si="0"/>
        <v>0.35149117234001226</v>
      </c>
      <c r="D19">
        <f t="shared" si="1"/>
        <v>-6.6990986797299257E-2</v>
      </c>
      <c r="E19">
        <f t="shared" si="2"/>
        <v>4.4877923120759233E-3</v>
      </c>
    </row>
    <row r="20" spans="1:5" x14ac:dyDescent="0.25">
      <c r="A20">
        <v>1.59882792355</v>
      </c>
      <c r="B20">
        <v>0.32095424831420272</v>
      </c>
      <c r="C20">
        <f t="shared" si="0"/>
        <v>0.31286797267623084</v>
      </c>
      <c r="D20">
        <f t="shared" si="1"/>
        <v>8.0862756379718737E-3</v>
      </c>
      <c r="E20">
        <f t="shared" si="2"/>
        <v>6.5387853693257432E-5</v>
      </c>
    </row>
    <row r="21" spans="1:5" x14ac:dyDescent="0.25">
      <c r="A21">
        <v>1.67813046845</v>
      </c>
      <c r="B21">
        <v>0.26706563378243536</v>
      </c>
      <c r="C21">
        <f t="shared" si="0"/>
        <v>0.2765000292296898</v>
      </c>
      <c r="D21">
        <f t="shared" si="1"/>
        <v>-9.43439544725444E-3</v>
      </c>
      <c r="E21">
        <f t="shared" si="2"/>
        <v>8.9007817455175311E-5</v>
      </c>
    </row>
    <row r="22" spans="1:5" x14ac:dyDescent="0.25">
      <c r="A22">
        <v>1.75743301335</v>
      </c>
      <c r="B22">
        <v>0.20921462112333214</v>
      </c>
      <c r="C22">
        <f t="shared" si="0"/>
        <v>0.24267204505218448</v>
      </c>
      <c r="D22">
        <f t="shared" si="1"/>
        <v>-3.3457423928852342E-2</v>
      </c>
      <c r="E22">
        <f t="shared" si="2"/>
        <v>1.1193992159549413E-3</v>
      </c>
    </row>
    <row r="23" spans="1:5" x14ac:dyDescent="0.25">
      <c r="A23">
        <v>1.83673555825</v>
      </c>
      <c r="B23">
        <v>0.20762966187239781</v>
      </c>
      <c r="C23">
        <f t="shared" si="0"/>
        <v>0.21155665821214331</v>
      </c>
      <c r="D23">
        <f t="shared" si="1"/>
        <v>-3.9269963397454977E-3</v>
      </c>
      <c r="E23">
        <f t="shared" si="2"/>
        <v>1.5421300252374535E-5</v>
      </c>
    </row>
    <row r="24" spans="1:5" x14ac:dyDescent="0.25">
      <c r="A24">
        <v>1.91603810315</v>
      </c>
      <c r="B24">
        <v>0.20683718224693062</v>
      </c>
      <c r="C24">
        <f t="shared" si="0"/>
        <v>0.18323078879896229</v>
      </c>
      <c r="D24">
        <f t="shared" si="1"/>
        <v>2.3606393447968332E-2</v>
      </c>
      <c r="E24">
        <f t="shared" si="2"/>
        <v>5.5726181162028224E-4</v>
      </c>
    </row>
    <row r="25" spans="1:5" x14ac:dyDescent="0.25">
      <c r="A25">
        <v>1.99534064805</v>
      </c>
      <c r="B25">
        <v>0.2052522229959963</v>
      </c>
      <c r="C25">
        <f t="shared" si="0"/>
        <v>0.15769190256535229</v>
      </c>
      <c r="D25">
        <f t="shared" si="1"/>
        <v>4.756032043064401E-2</v>
      </c>
      <c r="E25">
        <f t="shared" si="2"/>
        <v>2.2619840794655338E-3</v>
      </c>
    </row>
    <row r="26" spans="1:5" x14ac:dyDescent="0.25">
      <c r="A26">
        <v>2.07464319295</v>
      </c>
      <c r="B26">
        <v>0.14026889370768858</v>
      </c>
      <c r="C26">
        <f t="shared" si="0"/>
        <v>0.13487362134986602</v>
      </c>
      <c r="D26">
        <f t="shared" si="1"/>
        <v>5.3952723578225559E-3</v>
      </c>
      <c r="E26">
        <f t="shared" si="2"/>
        <v>2.9108963815084163E-5</v>
      </c>
    </row>
    <row r="27" spans="1:5" x14ac:dyDescent="0.25">
      <c r="A27">
        <v>2.15394573785</v>
      </c>
      <c r="B27">
        <v>0.13234409745301692</v>
      </c>
      <c r="C27">
        <f t="shared" si="0"/>
        <v>0.11466024841731581</v>
      </c>
      <c r="D27">
        <f t="shared" si="1"/>
        <v>1.768384903570111E-2</v>
      </c>
      <c r="E27">
        <f t="shared" si="2"/>
        <v>3.1271851671746707E-4</v>
      </c>
    </row>
    <row r="28" spans="1:5" x14ac:dyDescent="0.25">
      <c r="A28">
        <v>2.23324828275</v>
      </c>
      <c r="B28">
        <v>0.12679674007474676</v>
      </c>
      <c r="C28">
        <f t="shared" si="0"/>
        <v>9.6899907169939764E-2</v>
      </c>
      <c r="D28">
        <f t="shared" si="1"/>
        <v>2.9896832904806991E-2</v>
      </c>
      <c r="E28">
        <f t="shared" si="2"/>
        <v>8.9382061773795002E-4</v>
      </c>
    </row>
    <row r="29" spans="1:5" x14ac:dyDescent="0.25">
      <c r="A29">
        <v>2.31255082765</v>
      </c>
      <c r="B29">
        <v>0.12996665857661541</v>
      </c>
      <c r="C29">
        <f t="shared" si="0"/>
        <v>8.1416109106309795E-2</v>
      </c>
      <c r="D29">
        <f t="shared" si="1"/>
        <v>4.8550549470305612E-2</v>
      </c>
      <c r="E29">
        <f t="shared" si="2"/>
        <v>2.3571558538685927E-3</v>
      </c>
    </row>
    <row r="30" spans="1:5" x14ac:dyDescent="0.25">
      <c r="A30">
        <v>2.39185337255</v>
      </c>
      <c r="B30">
        <v>9.1135156928724231E-2</v>
      </c>
      <c r="C30">
        <f t="shared" si="0"/>
        <v>6.8017668159761777E-2</v>
      </c>
      <c r="D30">
        <f t="shared" si="1"/>
        <v>2.3117488768962455E-2</v>
      </c>
      <c r="E30">
        <f t="shared" si="2"/>
        <v>5.3441828698310519E-4</v>
      </c>
    </row>
    <row r="31" spans="1:5" x14ac:dyDescent="0.25">
      <c r="A31">
        <v>2.47115591745</v>
      </c>
      <c r="B31">
        <v>7.4493084793913714E-2</v>
      </c>
      <c r="C31">
        <f t="shared" si="0"/>
        <v>5.650696201216332E-2</v>
      </c>
      <c r="D31">
        <f t="shared" si="1"/>
        <v>1.7986122781750394E-2</v>
      </c>
      <c r="E31">
        <f t="shared" si="2"/>
        <v>3.2350061272020053E-4</v>
      </c>
    </row>
    <row r="32" spans="1:5" x14ac:dyDescent="0.25">
      <c r="A32">
        <v>2.55045846235</v>
      </c>
      <c r="B32">
        <v>6.9738207041110709E-2</v>
      </c>
      <c r="C32">
        <f t="shared" si="0"/>
        <v>4.6686606386415724E-2</v>
      </c>
      <c r="D32">
        <f t="shared" si="1"/>
        <v>2.3051600654694984E-2</v>
      </c>
      <c r="E32">
        <f t="shared" si="2"/>
        <v>5.3137629274353424E-4</v>
      </c>
    </row>
    <row r="33" spans="1:5" x14ac:dyDescent="0.25">
      <c r="A33">
        <v>2.6297610072499999</v>
      </c>
      <c r="B33">
        <v>8.2417881048585384E-2</v>
      </c>
      <c r="C33">
        <f t="shared" si="0"/>
        <v>3.8364656454757173E-2</v>
      </c>
      <c r="D33">
        <f t="shared" si="1"/>
        <v>4.4053224593828211E-2</v>
      </c>
      <c r="E33">
        <f t="shared" si="2"/>
        <v>1.9406865971142706E-3</v>
      </c>
    </row>
    <row r="34" spans="1:5" x14ac:dyDescent="0.25">
      <c r="A34">
        <v>2.7090635521499999</v>
      </c>
      <c r="B34">
        <v>3.4076623895088191E-2</v>
      </c>
      <c r="C34">
        <f t="shared" si="0"/>
        <v>3.1358481895511381E-2</v>
      </c>
      <c r="D34">
        <f t="shared" si="1"/>
        <v>2.7181419995768105E-3</v>
      </c>
      <c r="E34">
        <f t="shared" si="2"/>
        <v>7.3882959298634222E-6</v>
      </c>
    </row>
    <row r="35" spans="1:5" x14ac:dyDescent="0.25">
      <c r="A35">
        <v>2.7883660970499999</v>
      </c>
      <c r="B35">
        <v>3.8039022022424027E-2</v>
      </c>
      <c r="C35">
        <f t="shared" si="0"/>
        <v>2.549748080878831E-2</v>
      </c>
      <c r="D35">
        <f t="shared" si="1"/>
        <v>1.2541541213635717E-2</v>
      </c>
      <c r="E35">
        <f t="shared" si="2"/>
        <v>1.5729025601332323E-4</v>
      </c>
    </row>
    <row r="36" spans="1:5" x14ac:dyDescent="0.25">
      <c r="A36">
        <v>2.8676686419499999</v>
      </c>
      <c r="B36">
        <v>1.3472153632941842E-2</v>
      </c>
      <c r="C36">
        <f t="shared" si="0"/>
        <v>2.0624804934611156E-2</v>
      </c>
      <c r="D36">
        <f t="shared" si="1"/>
        <v>-7.152651301669314E-3</v>
      </c>
      <c r="E36">
        <f t="shared" si="2"/>
        <v>5.1160420643271732E-5</v>
      </c>
    </row>
    <row r="37" spans="1:5" x14ac:dyDescent="0.25">
      <c r="A37">
        <v>2.9469711868499999</v>
      </c>
      <c r="B37">
        <v>0</v>
      </c>
      <c r="C37">
        <f t="shared" si="0"/>
        <v>1.6598266739755767E-2</v>
      </c>
      <c r="D37">
        <f t="shared" si="1"/>
        <v>-1.6598266739755767E-2</v>
      </c>
      <c r="E37">
        <f t="shared" si="2"/>
        <v>2.7550245876408256E-4</v>
      </c>
    </row>
    <row r="38" spans="1:5" x14ac:dyDescent="0.25">
      <c r="A38">
        <v>3.0262737317499999</v>
      </c>
      <c r="B38">
        <v>0</v>
      </c>
      <c r="C38">
        <f t="shared" si="0"/>
        <v>1.3290590201847603E-2</v>
      </c>
      <c r="D38">
        <f t="shared" si="1"/>
        <v>-1.3290590201847603E-2</v>
      </c>
      <c r="E38">
        <f t="shared" si="2"/>
        <v>1.7663978791344749E-4</v>
      </c>
    </row>
    <row r="39" spans="1:5" x14ac:dyDescent="0.25">
      <c r="A39">
        <v>3.1055762766499999</v>
      </c>
      <c r="B39">
        <v>0</v>
      </c>
      <c r="C39">
        <f t="shared" si="0"/>
        <v>1.0589153580000468E-2</v>
      </c>
      <c r="D39">
        <f t="shared" si="1"/>
        <v>-1.0589153580000468E-2</v>
      </c>
      <c r="E39">
        <f t="shared" si="2"/>
        <v>1.1213017354083673E-4</v>
      </c>
    </row>
    <row r="40" spans="1:5" x14ac:dyDescent="0.25">
      <c r="A40">
        <v>3.1848788215499999</v>
      </c>
      <c r="B40">
        <v>7.9247962546716722E-4</v>
      </c>
      <c r="C40">
        <f t="shared" si="0"/>
        <v>8.3953559214255593E-3</v>
      </c>
      <c r="D40">
        <f t="shared" si="1"/>
        <v>-7.6028762959583921E-3</v>
      </c>
      <c r="E40">
        <f t="shared" si="2"/>
        <v>5.7803727971645999E-5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EF3A-0F25-4711-9F04-692BB51735B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0.107254011875</v>
      </c>
      <c r="B1">
        <v>0.11502250064991487</v>
      </c>
      <c r="C1">
        <f>$H$3*(1+$H$1)*(A1^($H$1))*EXP(-$H$3*(A1^(1+$H$1)))</f>
        <v>0.24323848909886367</v>
      </c>
      <c r="D1">
        <f>B1-C1</f>
        <v>-0.1282159884489488</v>
      </c>
      <c r="E1">
        <f>D1^2</f>
        <v>1.6439339693940971E-2</v>
      </c>
      <c r="G1" t="s">
        <v>0</v>
      </c>
      <c r="H1">
        <v>0.79429828855307694</v>
      </c>
    </row>
    <row r="2" spans="1:8" x14ac:dyDescent="0.25">
      <c r="A2">
        <v>0.18429317162500003</v>
      </c>
      <c r="B2">
        <v>0.30591090598381615</v>
      </c>
      <c r="C2">
        <f t="shared" ref="C2:C40" si="0">$H$3*(1+$H$1)*(A2^($H$1))*EXP(-$H$3*(A2^(1+$H$1)))</f>
        <v>0.36496388606471497</v>
      </c>
      <c r="D2">
        <f t="shared" ref="D2:D40" si="1">B2-C2</f>
        <v>-5.905298008089882E-2</v>
      </c>
      <c r="E2">
        <f t="shared" ref="E2:E40" si="2">D2^2</f>
        <v>3.487254456435033E-3</v>
      </c>
    </row>
    <row r="3" spans="1:8" x14ac:dyDescent="0.25">
      <c r="A3">
        <v>0.261332331375</v>
      </c>
      <c r="B3">
        <v>0.5074042227251564</v>
      </c>
      <c r="C3">
        <f t="shared" si="0"/>
        <v>0.46556695519232166</v>
      </c>
      <c r="D3">
        <f t="shared" si="1"/>
        <v>4.1837267532834732E-2</v>
      </c>
      <c r="E3">
        <f t="shared" si="2"/>
        <v>1.7503569546139873E-3</v>
      </c>
      <c r="G3" t="s">
        <v>1</v>
      </c>
      <c r="H3">
        <f>(_xlfn.GAMMA((2+$H$1)/(1+$H$1)))^(1+$H$1)</f>
        <v>0.81037648371186488</v>
      </c>
    </row>
    <row r="4" spans="1:8" x14ac:dyDescent="0.25">
      <c r="A4">
        <v>0.33837149112500003</v>
      </c>
      <c r="B4">
        <v>0.54411353144321428</v>
      </c>
      <c r="C4">
        <f t="shared" si="0"/>
        <v>0.54754820508686364</v>
      </c>
      <c r="D4">
        <f t="shared" si="1"/>
        <v>-3.4346736436493552E-3</v>
      </c>
      <c r="E4">
        <f t="shared" si="2"/>
        <v>1.1796983038379538E-5</v>
      </c>
    </row>
    <row r="5" spans="1:8" x14ac:dyDescent="0.25">
      <c r="A5">
        <v>0.41541065087500006</v>
      </c>
      <c r="B5">
        <v>0.58734893948892697</v>
      </c>
      <c r="C5">
        <f t="shared" si="0"/>
        <v>0.61203553971611746</v>
      </c>
      <c r="D5">
        <f t="shared" si="1"/>
        <v>-2.4686600227190492E-2</v>
      </c>
      <c r="E5">
        <f t="shared" si="2"/>
        <v>6.0942823077712166E-4</v>
      </c>
      <c r="G5" t="s">
        <v>2</v>
      </c>
      <c r="H5">
        <f>SUM(E1:E40)</f>
        <v>0.34158702276398389</v>
      </c>
    </row>
    <row r="6" spans="1:8" x14ac:dyDescent="0.25">
      <c r="A6">
        <v>0.49244981062500004</v>
      </c>
      <c r="B6">
        <v>0.63466315961442388</v>
      </c>
      <c r="C6">
        <f t="shared" si="0"/>
        <v>0.65991627037756861</v>
      </c>
      <c r="D6">
        <f t="shared" si="1"/>
        <v>-2.5253110763144737E-2</v>
      </c>
      <c r="E6">
        <f t="shared" si="2"/>
        <v>6.3771960321565659E-4</v>
      </c>
    </row>
    <row r="7" spans="1:8" x14ac:dyDescent="0.25">
      <c r="A7">
        <v>0.5694889703749999</v>
      </c>
      <c r="B7">
        <v>0.73989651127285672</v>
      </c>
      <c r="C7">
        <f t="shared" si="0"/>
        <v>0.69216223814413269</v>
      </c>
      <c r="D7">
        <f t="shared" si="1"/>
        <v>4.7734273128724025E-2</v>
      </c>
      <c r="E7">
        <f t="shared" si="2"/>
        <v>2.2785608311276244E-3</v>
      </c>
    </row>
    <row r="8" spans="1:8" x14ac:dyDescent="0.25">
      <c r="A8">
        <v>0.64652813012499999</v>
      </c>
      <c r="B8">
        <v>1.0653857152396371</v>
      </c>
      <c r="C8">
        <f t="shared" si="0"/>
        <v>0.70992416600946184</v>
      </c>
      <c r="D8">
        <f t="shared" si="1"/>
        <v>0.35546154923017526</v>
      </c>
      <c r="E8">
        <f t="shared" si="2"/>
        <v>0.12635291298111631</v>
      </c>
    </row>
    <row r="9" spans="1:8" x14ac:dyDescent="0.25">
      <c r="A9">
        <v>0.72356728987500007</v>
      </c>
      <c r="B9">
        <v>1.0335709810173201</v>
      </c>
      <c r="C9">
        <f t="shared" si="0"/>
        <v>0.71453845103644698</v>
      </c>
      <c r="D9">
        <f t="shared" si="1"/>
        <v>0.31903252998087317</v>
      </c>
      <c r="E9">
        <f t="shared" si="2"/>
        <v>0.10178175518599673</v>
      </c>
    </row>
    <row r="10" spans="1:8" x14ac:dyDescent="0.25">
      <c r="A10">
        <v>0.80060644962500005</v>
      </c>
      <c r="B10">
        <v>0.78884225623026727</v>
      </c>
      <c r="C10">
        <f t="shared" si="0"/>
        <v>0.70749572866874511</v>
      </c>
      <c r="D10">
        <f t="shared" si="1"/>
        <v>8.1346527561522164E-2</v>
      </c>
      <c r="E10">
        <f t="shared" si="2"/>
        <v>6.6172575463174848E-3</v>
      </c>
    </row>
    <row r="11" spans="1:8" x14ac:dyDescent="0.25">
      <c r="A11">
        <v>0.87764560937500002</v>
      </c>
      <c r="B11">
        <v>0.69339805356331663</v>
      </c>
      <c r="C11">
        <f t="shared" si="0"/>
        <v>0.69039260405481151</v>
      </c>
      <c r="D11">
        <f t="shared" si="1"/>
        <v>3.0054495085051203E-3</v>
      </c>
      <c r="E11">
        <f t="shared" si="2"/>
        <v>9.0327267481736688E-6</v>
      </c>
    </row>
    <row r="12" spans="1:8" x14ac:dyDescent="0.25">
      <c r="A12">
        <v>0.954684769125</v>
      </c>
      <c r="B12">
        <v>0.64363654618994914</v>
      </c>
      <c r="C12">
        <f t="shared" si="0"/>
        <v>0.66487761501470266</v>
      </c>
      <c r="D12">
        <f t="shared" si="1"/>
        <v>-2.1241068824753517E-2</v>
      </c>
      <c r="E12">
        <f t="shared" si="2"/>
        <v>4.5118300481791578E-4</v>
      </c>
    </row>
    <row r="13" spans="1:8" x14ac:dyDescent="0.25">
      <c r="A13">
        <v>1.031723928875</v>
      </c>
      <c r="B13">
        <v>0.50821998514111322</v>
      </c>
      <c r="C13">
        <f t="shared" si="0"/>
        <v>0.63259788363545344</v>
      </c>
      <c r="D13">
        <f t="shared" si="1"/>
        <v>-0.12437789849434022</v>
      </c>
      <c r="E13">
        <f t="shared" si="2"/>
        <v>1.54698616338684E-2</v>
      </c>
    </row>
    <row r="14" spans="1:8" x14ac:dyDescent="0.25">
      <c r="A14">
        <v>1.1087630886249999</v>
      </c>
      <c r="B14">
        <v>0.48782592474219216</v>
      </c>
      <c r="C14">
        <f t="shared" si="0"/>
        <v>0.59515045008662404</v>
      </c>
      <c r="D14">
        <f t="shared" si="1"/>
        <v>-0.10732452534443188</v>
      </c>
      <c r="E14">
        <f t="shared" si="2"/>
        <v>1.1518553740407601E-2</v>
      </c>
    </row>
    <row r="15" spans="1:8" x14ac:dyDescent="0.25">
      <c r="A15">
        <v>1.1858022483749999</v>
      </c>
      <c r="B15">
        <v>0.45356390327200474</v>
      </c>
      <c r="C15">
        <f t="shared" si="0"/>
        <v>0.55404073142467281</v>
      </c>
      <c r="D15">
        <f t="shared" si="1"/>
        <v>-0.10047682815266806</v>
      </c>
      <c r="E15">
        <f t="shared" si="2"/>
        <v>1.0095592995620789E-2</v>
      </c>
    </row>
    <row r="16" spans="1:8" x14ac:dyDescent="0.25">
      <c r="A16">
        <v>1.2628414081250003</v>
      </c>
      <c r="B16">
        <v>0.44377475428052265</v>
      </c>
      <c r="C16">
        <f t="shared" si="0"/>
        <v>0.5106494475889658</v>
      </c>
      <c r="D16">
        <f t="shared" si="1"/>
        <v>-6.6874693308443145E-2</v>
      </c>
      <c r="E16">
        <f t="shared" si="2"/>
        <v>4.4722246050983303E-3</v>
      </c>
    </row>
    <row r="17" spans="1:5" x14ac:dyDescent="0.25">
      <c r="A17">
        <v>1.3398805678750003</v>
      </c>
      <c r="B17">
        <v>0.35159360127739936</v>
      </c>
      <c r="C17">
        <f t="shared" si="0"/>
        <v>0.46620852362887816</v>
      </c>
      <c r="D17">
        <f t="shared" si="1"/>
        <v>-0.1146149223514788</v>
      </c>
      <c r="E17">
        <f t="shared" si="2"/>
        <v>1.3136580425635515E-2</v>
      </c>
    </row>
    <row r="18" spans="1:5" x14ac:dyDescent="0.25">
      <c r="A18">
        <v>1.4169197276250003</v>
      </c>
      <c r="B18">
        <v>0.3564881757731404</v>
      </c>
      <c r="C18">
        <f t="shared" si="0"/>
        <v>0.42178583627110788</v>
      </c>
      <c r="D18">
        <f t="shared" si="1"/>
        <v>-6.529766049796748E-2</v>
      </c>
      <c r="E18">
        <f t="shared" si="2"/>
        <v>4.2637844665078225E-3</v>
      </c>
    </row>
    <row r="19" spans="1:5" x14ac:dyDescent="0.25">
      <c r="A19">
        <v>1.493958887375</v>
      </c>
      <c r="B19">
        <v>0.30672666839977297</v>
      </c>
      <c r="C19">
        <f t="shared" si="0"/>
        <v>0.37827819078039349</v>
      </c>
      <c r="D19">
        <f t="shared" si="1"/>
        <v>-7.1551522380620514E-2</v>
      </c>
      <c r="E19">
        <f t="shared" si="2"/>
        <v>5.1196203549844386E-3</v>
      </c>
    </row>
    <row r="20" spans="1:5" x14ac:dyDescent="0.25">
      <c r="A20">
        <v>1.5709980471249998</v>
      </c>
      <c r="B20">
        <v>0.32385767913486668</v>
      </c>
      <c r="C20">
        <f t="shared" si="0"/>
        <v>0.33641157205575062</v>
      </c>
      <c r="D20">
        <f t="shared" si="1"/>
        <v>-1.2553892920883936E-2</v>
      </c>
      <c r="E20">
        <f t="shared" si="2"/>
        <v>1.5760022746901978E-4</v>
      </c>
    </row>
    <row r="21" spans="1:5" x14ac:dyDescent="0.25">
      <c r="A21">
        <v>1.6480372068750002</v>
      </c>
      <c r="B21">
        <v>0.280622271089154</v>
      </c>
      <c r="C21">
        <f t="shared" si="0"/>
        <v>0.29674749714597831</v>
      </c>
      <c r="D21">
        <f t="shared" si="1"/>
        <v>-1.6125226056824316E-2</v>
      </c>
      <c r="E21">
        <f t="shared" si="2"/>
        <v>2.6002291538368584E-4</v>
      </c>
    </row>
    <row r="22" spans="1:5" x14ac:dyDescent="0.25">
      <c r="A22">
        <v>1.7250763666250002</v>
      </c>
      <c r="B22">
        <v>0.22025585230834763</v>
      </c>
      <c r="C22">
        <f t="shared" si="0"/>
        <v>0.25969418947236766</v>
      </c>
      <c r="D22">
        <f t="shared" si="1"/>
        <v>-3.9438337164020038E-2</v>
      </c>
      <c r="E22">
        <f t="shared" si="2"/>
        <v>1.5553824382629241E-3</v>
      </c>
    </row>
    <row r="23" spans="1:5" x14ac:dyDescent="0.25">
      <c r="A23">
        <v>1.8021155263750002</v>
      </c>
      <c r="B23">
        <v>0.21372975298069288</v>
      </c>
      <c r="C23">
        <f t="shared" si="0"/>
        <v>0.2255212810091814</v>
      </c>
      <c r="D23">
        <f t="shared" si="1"/>
        <v>-1.1791528028488513E-2</v>
      </c>
      <c r="E23">
        <f t="shared" si="2"/>
        <v>1.390401332466302E-4</v>
      </c>
    </row>
    <row r="24" spans="1:5" x14ac:dyDescent="0.25">
      <c r="A24">
        <v>1.8791546861249999</v>
      </c>
      <c r="B24">
        <v>0.19986179190942654</v>
      </c>
      <c r="C24">
        <f t="shared" si="0"/>
        <v>0.19437680917664762</v>
      </c>
      <c r="D24">
        <f t="shared" si="1"/>
        <v>5.4849827327789202E-3</v>
      </c>
      <c r="E24">
        <f t="shared" si="2"/>
        <v>3.0085035578882912E-5</v>
      </c>
    </row>
    <row r="25" spans="1:5" x14ac:dyDescent="0.25">
      <c r="A25">
        <v>1.9561938458750001</v>
      </c>
      <c r="B25">
        <v>0.23412381337961397</v>
      </c>
      <c r="C25">
        <f t="shared" si="0"/>
        <v>0.16630539149557511</v>
      </c>
      <c r="D25">
        <f t="shared" si="1"/>
        <v>6.781842188403886E-2</v>
      </c>
      <c r="E25">
        <f t="shared" si="2"/>
        <v>4.5993383468414806E-3</v>
      </c>
    </row>
    <row r="26" spans="1:5" x14ac:dyDescent="0.25">
      <c r="A26">
        <v>2.0332330056250001</v>
      </c>
      <c r="B26">
        <v>0.14275842279244755</v>
      </c>
      <c r="C26">
        <f t="shared" si="0"/>
        <v>0.14126661496848722</v>
      </c>
      <c r="D26">
        <f t="shared" si="1"/>
        <v>1.4918078239603283E-3</v>
      </c>
      <c r="E26">
        <f t="shared" si="2"/>
        <v>2.2254905836292497E-6</v>
      </c>
    </row>
    <row r="27" spans="1:5" x14ac:dyDescent="0.25">
      <c r="A27">
        <v>2.1102721653750001</v>
      </c>
      <c r="B27">
        <v>0.12889046172118121</v>
      </c>
      <c r="C27">
        <f t="shared" si="0"/>
        <v>0.11915285202379382</v>
      </c>
      <c r="D27">
        <f t="shared" si="1"/>
        <v>9.7376096973873921E-3</v>
      </c>
      <c r="E27">
        <f t="shared" si="2"/>
        <v>9.4821042618652984E-5</v>
      </c>
    </row>
    <row r="28" spans="1:5" x14ac:dyDescent="0.25">
      <c r="A28">
        <v>2.187311325125</v>
      </c>
      <c r="B28">
        <v>0.13949537312862018</v>
      </c>
      <c r="C28">
        <f t="shared" si="0"/>
        <v>9.9805896232271332E-2</v>
      </c>
      <c r="D28">
        <f t="shared" si="1"/>
        <v>3.9689476896348844E-2</v>
      </c>
      <c r="E28">
        <f t="shared" si="2"/>
        <v>1.5752545763058087E-3</v>
      </c>
    </row>
    <row r="29" spans="1:5" x14ac:dyDescent="0.25">
      <c r="A29">
        <v>2.264350484875</v>
      </c>
      <c r="B29">
        <v>0.15010028453605911</v>
      </c>
      <c r="C29">
        <f t="shared" si="0"/>
        <v>8.3031987083858477E-2</v>
      </c>
      <c r="D29">
        <f t="shared" si="1"/>
        <v>6.7068297452200637E-2</v>
      </c>
      <c r="E29">
        <f t="shared" si="2"/>
        <v>4.4981565231368625E-3</v>
      </c>
    </row>
    <row r="30" spans="1:5" x14ac:dyDescent="0.25">
      <c r="A30">
        <v>2.341389644625</v>
      </c>
      <c r="B30">
        <v>6.6892518108461127E-2</v>
      </c>
      <c r="C30">
        <f t="shared" si="0"/>
        <v>6.8614954952653101E-2</v>
      </c>
      <c r="D30">
        <f t="shared" si="1"/>
        <v>-1.7224368441919741E-3</v>
      </c>
      <c r="E30">
        <f t="shared" si="2"/>
        <v>2.9667886822300067E-6</v>
      </c>
    </row>
    <row r="31" spans="1:5" x14ac:dyDescent="0.25">
      <c r="A31">
        <v>2.418428804375</v>
      </c>
      <c r="B31">
        <v>8.4839291259511673E-2</v>
      </c>
      <c r="C31">
        <f t="shared" si="0"/>
        <v>5.6327358846945799E-2</v>
      </c>
      <c r="D31">
        <f t="shared" si="1"/>
        <v>2.8511932412565874E-2</v>
      </c>
      <c r="E31">
        <f t="shared" si="2"/>
        <v>8.129302898987245E-4</v>
      </c>
    </row>
    <row r="32" spans="1:5" x14ac:dyDescent="0.25">
      <c r="A32">
        <v>2.4954679641249999</v>
      </c>
      <c r="B32">
        <v>8.3207766427597987E-2</v>
      </c>
      <c r="C32">
        <f t="shared" si="0"/>
        <v>4.5939607100027896E-2</v>
      </c>
      <c r="D32">
        <f t="shared" si="1"/>
        <v>3.7268159327570091E-2</v>
      </c>
      <c r="E32">
        <f t="shared" si="2"/>
        <v>1.3889156996651495E-3</v>
      </c>
    </row>
    <row r="33" spans="1:5" x14ac:dyDescent="0.25">
      <c r="A33">
        <v>2.5725071238749999</v>
      </c>
      <c r="B33">
        <v>6.6076755692504291E-2</v>
      </c>
      <c r="C33">
        <f t="shared" si="0"/>
        <v>3.7227143511592349E-2</v>
      </c>
      <c r="D33">
        <f t="shared" si="1"/>
        <v>2.8849612180911942E-2</v>
      </c>
      <c r="E33">
        <f t="shared" si="2"/>
        <v>8.3230012298902273E-4</v>
      </c>
    </row>
    <row r="34" spans="1:5" x14ac:dyDescent="0.25">
      <c r="A34">
        <v>2.6495462836249999</v>
      </c>
      <c r="B34">
        <v>4.2419645629755837E-2</v>
      </c>
      <c r="C34">
        <f t="shared" si="0"/>
        <v>2.9975849123574146E-2</v>
      </c>
      <c r="D34">
        <f t="shared" si="1"/>
        <v>1.244379650618169E-2</v>
      </c>
      <c r="E34">
        <f t="shared" si="2"/>
        <v>1.5484807148725965E-4</v>
      </c>
    </row>
    <row r="35" spans="1:5" x14ac:dyDescent="0.25">
      <c r="A35">
        <v>2.7265854433749999</v>
      </c>
      <c r="B35">
        <v>3.507778388614425E-2</v>
      </c>
      <c r="C35">
        <f t="shared" si="0"/>
        <v>2.3985854699776547E-2</v>
      </c>
      <c r="D35">
        <f t="shared" si="1"/>
        <v>1.1091929186367703E-2</v>
      </c>
      <c r="E35">
        <f t="shared" si="2"/>
        <v>1.2303089307539569E-4</v>
      </c>
    </row>
    <row r="36" spans="1:5" x14ac:dyDescent="0.25">
      <c r="A36">
        <v>2.8036246031250003</v>
      </c>
      <c r="B36">
        <v>0</v>
      </c>
      <c r="C36">
        <f t="shared" si="0"/>
        <v>1.9073983892195865E-2</v>
      </c>
      <c r="D36">
        <f t="shared" si="1"/>
        <v>-1.9073983892195865E-2</v>
      </c>
      <c r="E36">
        <f t="shared" si="2"/>
        <v>3.6381686151974729E-4</v>
      </c>
    </row>
    <row r="37" spans="1:5" x14ac:dyDescent="0.25">
      <c r="A37">
        <v>2.8806637628750003</v>
      </c>
      <c r="B37">
        <v>0</v>
      </c>
      <c r="C37">
        <f t="shared" si="0"/>
        <v>1.5075055359580321E-2</v>
      </c>
      <c r="D37">
        <f t="shared" si="1"/>
        <v>-1.5075055359580321E-2</v>
      </c>
      <c r="E37">
        <f t="shared" si="2"/>
        <v>2.2725729409441136E-4</v>
      </c>
    </row>
    <row r="38" spans="1:5" x14ac:dyDescent="0.25">
      <c r="A38">
        <v>2.9577029226249998</v>
      </c>
      <c r="B38">
        <v>0</v>
      </c>
      <c r="C38">
        <f t="shared" si="0"/>
        <v>1.184226728039753E-2</v>
      </c>
      <c r="D38">
        <f t="shared" si="1"/>
        <v>-1.184226728039753E-2</v>
      </c>
      <c r="E38">
        <f t="shared" si="2"/>
        <v>1.4023929434037392E-4</v>
      </c>
    </row>
    <row r="39" spans="1:5" x14ac:dyDescent="0.25">
      <c r="A39">
        <v>3.0347420823749998</v>
      </c>
      <c r="B39">
        <v>0</v>
      </c>
      <c r="C39">
        <f t="shared" si="0"/>
        <v>9.2468732121008014E-3</v>
      </c>
      <c r="D39">
        <f t="shared" si="1"/>
        <v>-9.2468732121008014E-3</v>
      </c>
      <c r="E39">
        <f t="shared" si="2"/>
        <v>8.5504664200667394E-5</v>
      </c>
    </row>
    <row r="40" spans="1:5" x14ac:dyDescent="0.25">
      <c r="A40">
        <v>3.1117812421250002</v>
      </c>
      <c r="B40">
        <v>8.1576241595684312E-4</v>
      </c>
      <c r="C40">
        <f t="shared" si="0"/>
        <v>7.1773372473271811E-3</v>
      </c>
      <c r="D40">
        <f t="shared" si="1"/>
        <v>-6.3615748313703381E-3</v>
      </c>
      <c r="E40">
        <f t="shared" si="2"/>
        <v>4.0469634335124543E-5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C4DF-9AAF-4C72-AA59-9A08F9719DD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0.1244912108125</v>
      </c>
      <c r="B1">
        <v>0.11595821087623728</v>
      </c>
      <c r="C1">
        <f>$H$3*(1+$H$1)*(A1^($H$1))*EXP(-$H$3*(A1^(1+$H$1)))</f>
        <v>0.23247767285203244</v>
      </c>
      <c r="D1">
        <f>B1-C1</f>
        <v>-0.11651946197579516</v>
      </c>
      <c r="E1">
        <f>D1^2</f>
        <v>1.3576785019128774E-2</v>
      </c>
      <c r="G1" t="s">
        <v>0</v>
      </c>
      <c r="H1">
        <v>0.89007197597865007</v>
      </c>
    </row>
    <row r="2" spans="1:8" x14ac:dyDescent="0.25">
      <c r="A2">
        <v>0.19928280843750001</v>
      </c>
      <c r="B2">
        <v>0.23527752931410464</v>
      </c>
      <c r="C2">
        <f t="shared" ref="C2:C40" si="0">$H$3*(1+$H$1)*(A2^($H$1))*EXP(-$H$3*(A2^(1+$H$1)))</f>
        <v>0.34559667360303514</v>
      </c>
      <c r="D2">
        <f t="shared" ref="D2:D40" si="1">B2-C2</f>
        <v>-0.1103191442889305</v>
      </c>
      <c r="E2">
        <f t="shared" ref="E2:E40" si="2">D2^2</f>
        <v>1.2170313596641866E-2</v>
      </c>
    </row>
    <row r="3" spans="1:8" x14ac:dyDescent="0.25">
      <c r="A3">
        <v>0.2740744060625</v>
      </c>
      <c r="B3">
        <v>0.51256890314858505</v>
      </c>
      <c r="C3">
        <f t="shared" si="0"/>
        <v>0.44480836313972294</v>
      </c>
      <c r="D3">
        <f t="shared" si="1"/>
        <v>6.7760540008862113E-2</v>
      </c>
      <c r="E3">
        <f t="shared" si="2"/>
        <v>4.5914907822926032E-3</v>
      </c>
      <c r="G3" t="s">
        <v>1</v>
      </c>
      <c r="H3">
        <f>(_xlfn.GAMMA((2+$H$1)/(1+$H$1)))^(1+$H$1)</f>
        <v>0.79808453975924243</v>
      </c>
    </row>
    <row r="4" spans="1:8" x14ac:dyDescent="0.25">
      <c r="A4">
        <v>0.34886600368749998</v>
      </c>
      <c r="B4">
        <v>0.56634662413466619</v>
      </c>
      <c r="C4">
        <f t="shared" si="0"/>
        <v>0.52978426535556911</v>
      </c>
      <c r="D4">
        <f t="shared" si="1"/>
        <v>3.6562358779097082E-2</v>
      </c>
      <c r="E4">
        <f t="shared" si="2"/>
        <v>1.3368060794914174E-3</v>
      </c>
    </row>
    <row r="5" spans="1:8" x14ac:dyDescent="0.25">
      <c r="A5">
        <v>0.42365760131249997</v>
      </c>
      <c r="B5">
        <v>0.58063133127159394</v>
      </c>
      <c r="C5">
        <f t="shared" si="0"/>
        <v>0.60003126893905012</v>
      </c>
      <c r="D5">
        <f t="shared" si="1"/>
        <v>-1.939993766745618E-2</v>
      </c>
      <c r="E5">
        <f t="shared" si="2"/>
        <v>3.7635758150118511E-4</v>
      </c>
      <c r="G5" t="s">
        <v>2</v>
      </c>
      <c r="H5">
        <f>SUM(E1:E40)</f>
        <v>0.36708676155532671</v>
      </c>
    </row>
    <row r="6" spans="1:8" x14ac:dyDescent="0.25">
      <c r="A6">
        <v>0.49844919893749995</v>
      </c>
      <c r="B6">
        <v>0.65373542073704793</v>
      </c>
      <c r="C6">
        <f t="shared" si="0"/>
        <v>0.65527567736026837</v>
      </c>
      <c r="D6">
        <f t="shared" si="1"/>
        <v>-1.5402566232204373E-3</v>
      </c>
      <c r="E6">
        <f t="shared" si="2"/>
        <v>2.3723904653744241E-6</v>
      </c>
    </row>
    <row r="7" spans="1:8" x14ac:dyDescent="0.25">
      <c r="A7">
        <v>0.57324079656249993</v>
      </c>
      <c r="B7">
        <v>0.70499231105190641</v>
      </c>
      <c r="C7">
        <f t="shared" si="0"/>
        <v>0.69558421348357424</v>
      </c>
      <c r="D7">
        <f t="shared" si="1"/>
        <v>9.4080975683321633E-3</v>
      </c>
      <c r="E7">
        <f t="shared" si="2"/>
        <v>8.8512299855257563E-5</v>
      </c>
    </row>
    <row r="8" spans="1:8" x14ac:dyDescent="0.25">
      <c r="A8">
        <v>0.64803239418749992</v>
      </c>
      <c r="B8">
        <v>0.86464492022933459</v>
      </c>
      <c r="C8">
        <f t="shared" si="0"/>
        <v>0.72139059285061946</v>
      </c>
      <c r="D8">
        <f t="shared" si="1"/>
        <v>0.14325432737871513</v>
      </c>
      <c r="E8">
        <f t="shared" si="2"/>
        <v>2.0521802312728092E-2</v>
      </c>
    </row>
    <row r="9" spans="1:8" x14ac:dyDescent="0.25">
      <c r="A9">
        <v>0.72282399181250001</v>
      </c>
      <c r="B9">
        <v>1.1654640469952255</v>
      </c>
      <c r="C9">
        <f t="shared" si="0"/>
        <v>0.73347646296597635</v>
      </c>
      <c r="D9">
        <f t="shared" si="1"/>
        <v>0.43198758402924919</v>
      </c>
      <c r="E9">
        <f t="shared" si="2"/>
        <v>0.18661327275542763</v>
      </c>
    </row>
    <row r="10" spans="1:8" x14ac:dyDescent="0.25">
      <c r="A10">
        <v>0.79761558943749999</v>
      </c>
      <c r="B10">
        <v>0.90581848785930286</v>
      </c>
      <c r="C10">
        <f t="shared" si="0"/>
        <v>0.73292657668009142</v>
      </c>
      <c r="D10">
        <f t="shared" si="1"/>
        <v>0.17289191117921143</v>
      </c>
      <c r="E10">
        <f t="shared" si="2"/>
        <v>2.9891612951200335E-2</v>
      </c>
    </row>
    <row r="11" spans="1:8" x14ac:dyDescent="0.25">
      <c r="A11">
        <v>0.87240718706250009</v>
      </c>
      <c r="B11">
        <v>0.8083463685720309</v>
      </c>
      <c r="C11">
        <f t="shared" si="0"/>
        <v>0.72106900687752717</v>
      </c>
      <c r="D11">
        <f t="shared" si="1"/>
        <v>8.727736169450373E-2</v>
      </c>
      <c r="E11">
        <f t="shared" si="2"/>
        <v>7.6173378643532271E-3</v>
      </c>
    </row>
    <row r="12" spans="1:8" x14ac:dyDescent="0.25">
      <c r="A12">
        <v>0.94719878468750007</v>
      </c>
      <c r="B12">
        <v>0.67306178921642079</v>
      </c>
      <c r="C12">
        <f t="shared" si="0"/>
        <v>0.69940771002295099</v>
      </c>
      <c r="D12">
        <f t="shared" si="1"/>
        <v>-2.6345920806530199E-2</v>
      </c>
      <c r="E12">
        <f t="shared" si="2"/>
        <v>6.9410754314396081E-4</v>
      </c>
    </row>
    <row r="13" spans="1:8" x14ac:dyDescent="0.25">
      <c r="A13">
        <v>1.0219903823125001</v>
      </c>
      <c r="B13">
        <v>0.56382579346344364</v>
      </c>
      <c r="C13">
        <f t="shared" si="0"/>
        <v>0.66955300940741103</v>
      </c>
      <c r="D13">
        <f t="shared" si="1"/>
        <v>-0.10572721594396739</v>
      </c>
      <c r="E13">
        <f t="shared" si="2"/>
        <v>1.1178244191262312E-2</v>
      </c>
    </row>
    <row r="14" spans="1:8" x14ac:dyDescent="0.25">
      <c r="A14">
        <v>1.0967819799375</v>
      </c>
      <c r="B14">
        <v>0.53861748675121812</v>
      </c>
      <c r="C14">
        <f t="shared" si="0"/>
        <v>0.63315440901868114</v>
      </c>
      <c r="D14">
        <f t="shared" si="1"/>
        <v>-9.4536922267463019E-2</v>
      </c>
      <c r="E14">
        <f t="shared" si="2"/>
        <v>8.9372296718043445E-3</v>
      </c>
    </row>
    <row r="15" spans="1:8" x14ac:dyDescent="0.25">
      <c r="A15">
        <v>1.1715735775625</v>
      </c>
      <c r="B15">
        <v>0.47139533551861679</v>
      </c>
      <c r="C15">
        <f t="shared" si="0"/>
        <v>0.59183916975803241</v>
      </c>
      <c r="D15">
        <f t="shared" si="1"/>
        <v>-0.12044383423941563</v>
      </c>
      <c r="E15">
        <f t="shared" si="2"/>
        <v>1.4506717206291828E-2</v>
      </c>
    </row>
    <row r="16" spans="1:8" x14ac:dyDescent="0.25">
      <c r="A16">
        <v>1.2463651751875</v>
      </c>
      <c r="B16">
        <v>0.45122869014883638</v>
      </c>
      <c r="C16">
        <f t="shared" si="0"/>
        <v>0.54715915942148363</v>
      </c>
      <c r="D16">
        <f t="shared" si="1"/>
        <v>-9.5930469272647256E-2</v>
      </c>
      <c r="E16">
        <f t="shared" si="2"/>
        <v>9.2026549348703194E-3</v>
      </c>
    </row>
    <row r="17" spans="1:5" x14ac:dyDescent="0.25">
      <c r="A17">
        <v>1.3211567728125</v>
      </c>
      <c r="B17">
        <v>0.3907287540394952</v>
      </c>
      <c r="C17">
        <f t="shared" si="0"/>
        <v>0.50054760768252793</v>
      </c>
      <c r="D17">
        <f t="shared" si="1"/>
        <v>-0.10981885364303273</v>
      </c>
      <c r="E17">
        <f t="shared" si="2"/>
        <v>1.2060180615469844E-2</v>
      </c>
    </row>
    <row r="18" spans="1:5" x14ac:dyDescent="0.25">
      <c r="A18">
        <v>1.3959483704375</v>
      </c>
      <c r="B18">
        <v>0.37812460068338244</v>
      </c>
      <c r="C18">
        <f t="shared" si="0"/>
        <v>0.45328657645322346</v>
      </c>
      <c r="D18">
        <f t="shared" si="1"/>
        <v>-7.5161975769841016E-2</v>
      </c>
      <c r="E18">
        <f t="shared" si="2"/>
        <v>5.6493226016261682E-3</v>
      </c>
    </row>
    <row r="19" spans="1:5" x14ac:dyDescent="0.25">
      <c r="A19">
        <v>1.4707399680625</v>
      </c>
      <c r="B19">
        <v>0.2982982960946684</v>
      </c>
      <c r="C19">
        <f t="shared" si="0"/>
        <v>0.40648522388358582</v>
      </c>
      <c r="D19">
        <f t="shared" si="1"/>
        <v>-0.10818692778891742</v>
      </c>
      <c r="E19">
        <f t="shared" si="2"/>
        <v>1.1704411344404432E-2</v>
      </c>
    </row>
    <row r="20" spans="1:5" x14ac:dyDescent="0.25">
      <c r="A20">
        <v>1.5455315656874999</v>
      </c>
      <c r="B20">
        <v>0.34787463262871188</v>
      </c>
      <c r="C20">
        <f t="shared" si="0"/>
        <v>0.36106832377075587</v>
      </c>
      <c r="D20">
        <f t="shared" si="1"/>
        <v>-1.3193691142043995E-2</v>
      </c>
      <c r="E20">
        <f t="shared" si="2"/>
        <v>1.7407348595165019E-4</v>
      </c>
    </row>
    <row r="21" spans="1:5" x14ac:dyDescent="0.25">
      <c r="A21">
        <v>1.6203231633124999</v>
      </c>
      <c r="B21">
        <v>0.29073580408100075</v>
      </c>
      <c r="C21">
        <f t="shared" si="0"/>
        <v>0.31777401981740516</v>
      </c>
      <c r="D21">
        <f t="shared" si="1"/>
        <v>-2.7038215736404414E-2</v>
      </c>
      <c r="E21">
        <f t="shared" si="2"/>
        <v>7.3106511020834726E-4</v>
      </c>
    </row>
    <row r="22" spans="1:5" x14ac:dyDescent="0.25">
      <c r="A22">
        <v>1.6951147609374999</v>
      </c>
      <c r="B22">
        <v>0.24115946754695725</v>
      </c>
      <c r="C22">
        <f t="shared" si="0"/>
        <v>0.27715945405362863</v>
      </c>
      <c r="D22">
        <f t="shared" si="1"/>
        <v>-3.5999986506671383E-2</v>
      </c>
      <c r="E22">
        <f t="shared" si="2"/>
        <v>1.2959990284805217E-3</v>
      </c>
    </row>
    <row r="23" spans="1:5" x14ac:dyDescent="0.25">
      <c r="A23">
        <v>1.7699063585624999</v>
      </c>
      <c r="B23">
        <v>0.20922894571147163</v>
      </c>
      <c r="C23">
        <f t="shared" si="0"/>
        <v>0.23961270845702123</v>
      </c>
      <c r="D23">
        <f t="shared" si="1"/>
        <v>-3.0383762745549603E-2</v>
      </c>
      <c r="E23">
        <f t="shared" si="2"/>
        <v>9.2317303857784795E-4</v>
      </c>
    </row>
    <row r="24" spans="1:5" x14ac:dyDescent="0.25">
      <c r="A24">
        <v>1.8446979561874999</v>
      </c>
      <c r="B24">
        <v>0.21847199150595431</v>
      </c>
      <c r="C24">
        <f t="shared" si="0"/>
        <v>0.20536942699582475</v>
      </c>
      <c r="D24">
        <f t="shared" si="1"/>
        <v>1.3102564510129561E-2</v>
      </c>
      <c r="E24">
        <f t="shared" si="2"/>
        <v>1.716771967421067E-4</v>
      </c>
    </row>
    <row r="25" spans="1:5" x14ac:dyDescent="0.25">
      <c r="A25">
        <v>1.9194895538124999</v>
      </c>
      <c r="B25">
        <v>0.22519420662921444</v>
      </c>
      <c r="C25">
        <f t="shared" si="0"/>
        <v>0.17453252373973016</v>
      </c>
      <c r="D25">
        <f t="shared" si="1"/>
        <v>5.0661682889484277E-2</v>
      </c>
      <c r="E25">
        <f t="shared" si="2"/>
        <v>2.5666061131946641E-3</v>
      </c>
    </row>
    <row r="26" spans="1:5" x14ac:dyDescent="0.25">
      <c r="A26">
        <v>1.9942811514374998</v>
      </c>
      <c r="B26">
        <v>0.15124984027335298</v>
      </c>
      <c r="C26">
        <f t="shared" si="0"/>
        <v>0.14709350869784837</v>
      </c>
      <c r="D26">
        <f t="shared" si="1"/>
        <v>4.1563315755046015E-3</v>
      </c>
      <c r="E26">
        <f t="shared" si="2"/>
        <v>1.7275092165536562E-5</v>
      </c>
    </row>
    <row r="27" spans="1:5" x14ac:dyDescent="0.25">
      <c r="A27">
        <v>2.0690727490625003</v>
      </c>
      <c r="B27">
        <v>0.14620817893090787</v>
      </c>
      <c r="C27">
        <f t="shared" si="0"/>
        <v>0.12295415208185313</v>
      </c>
      <c r="D27">
        <f t="shared" si="1"/>
        <v>2.325402684905474E-2</v>
      </c>
      <c r="E27">
        <f t="shared" si="2"/>
        <v>5.4074976469655877E-4</v>
      </c>
    </row>
    <row r="28" spans="1:5" x14ac:dyDescent="0.25">
      <c r="A28">
        <v>2.1438643466874998</v>
      </c>
      <c r="B28">
        <v>0.14536790204050037</v>
      </c>
      <c r="C28">
        <f t="shared" si="0"/>
        <v>0.10194743544353305</v>
      </c>
      <c r="D28">
        <f t="shared" si="1"/>
        <v>4.3420466596967328E-2</v>
      </c>
      <c r="E28">
        <f t="shared" si="2"/>
        <v>1.8853369194983555E-3</v>
      </c>
    </row>
    <row r="29" spans="1:5" x14ac:dyDescent="0.25">
      <c r="A29">
        <v>2.2186559443124998</v>
      </c>
      <c r="B29">
        <v>0.13948596380764774</v>
      </c>
      <c r="C29">
        <f t="shared" si="0"/>
        <v>8.3856982328078325E-2</v>
      </c>
      <c r="D29">
        <f t="shared" si="1"/>
        <v>5.562898147956942E-2</v>
      </c>
      <c r="E29">
        <f t="shared" si="2"/>
        <v>3.0945835804542777E-3</v>
      </c>
    </row>
    <row r="30" spans="1:5" x14ac:dyDescent="0.25">
      <c r="A30">
        <v>2.2934475419374998</v>
      </c>
      <c r="B30">
        <v>8.0666581479121591E-2</v>
      </c>
      <c r="C30">
        <f t="shared" si="0"/>
        <v>6.8434402758541429E-2</v>
      </c>
      <c r="D30">
        <f t="shared" si="1"/>
        <v>1.2232178720580161E-2</v>
      </c>
      <c r="E30">
        <f t="shared" si="2"/>
        <v>1.4962619625221411E-4</v>
      </c>
    </row>
    <row r="31" spans="1:5" x14ac:dyDescent="0.25">
      <c r="A31">
        <v>2.3682391395625002</v>
      </c>
      <c r="B31">
        <v>9.4951288616049373E-2</v>
      </c>
      <c r="C31">
        <f t="shared" si="0"/>
        <v>5.5414210131110864E-2</v>
      </c>
      <c r="D31">
        <f t="shared" si="1"/>
        <v>3.9537078484938509E-2</v>
      </c>
      <c r="E31">
        <f t="shared" si="2"/>
        <v>1.5631805751241876E-3</v>
      </c>
    </row>
    <row r="32" spans="1:5" x14ac:dyDescent="0.25">
      <c r="A32">
        <v>2.4430307371874997</v>
      </c>
      <c r="B32">
        <v>8.3187412150344142E-2</v>
      </c>
      <c r="C32">
        <f t="shared" si="0"/>
        <v>4.4526165401365204E-2</v>
      </c>
      <c r="D32">
        <f t="shared" si="1"/>
        <v>3.8661246748978938E-2</v>
      </c>
      <c r="E32">
        <f t="shared" si="2"/>
        <v>1.4946920001854345E-3</v>
      </c>
    </row>
    <row r="33" spans="1:5" x14ac:dyDescent="0.25">
      <c r="A33">
        <v>2.5178223348125002</v>
      </c>
      <c r="B33">
        <v>5.3777720986081058E-2</v>
      </c>
      <c r="C33">
        <f t="shared" si="0"/>
        <v>3.5505065427460313E-2</v>
      </c>
      <c r="D33">
        <f t="shared" si="1"/>
        <v>1.8272655558620746E-2</v>
      </c>
      <c r="E33">
        <f t="shared" si="2"/>
        <v>3.3388994116399361E-4</v>
      </c>
    </row>
    <row r="34" spans="1:5" x14ac:dyDescent="0.25">
      <c r="A34">
        <v>2.5926139324374997</v>
      </c>
      <c r="B34">
        <v>5.2937444095673546E-2</v>
      </c>
      <c r="C34">
        <f t="shared" si="0"/>
        <v>2.8098117414966046E-2</v>
      </c>
      <c r="D34">
        <f t="shared" si="1"/>
        <v>2.4839326680707499E-2</v>
      </c>
      <c r="E34">
        <f t="shared" si="2"/>
        <v>6.1699214995090739E-4</v>
      </c>
    </row>
    <row r="35" spans="1:5" x14ac:dyDescent="0.25">
      <c r="A35">
        <v>2.6674055300625001</v>
      </c>
      <c r="B35">
        <v>1.0083322684890199E-2</v>
      </c>
      <c r="C35">
        <f t="shared" si="0"/>
        <v>2.2070130099288945E-2</v>
      </c>
      <c r="D35">
        <f t="shared" si="1"/>
        <v>-1.1986807414398747E-2</v>
      </c>
      <c r="E35">
        <f t="shared" si="2"/>
        <v>1.4368355198988476E-4</v>
      </c>
    </row>
    <row r="36" spans="1:5" x14ac:dyDescent="0.25">
      <c r="A36">
        <v>2.7421971276874997</v>
      </c>
      <c r="B36">
        <v>0</v>
      </c>
      <c r="C36">
        <f t="shared" si="0"/>
        <v>1.7206807487617812E-2</v>
      </c>
      <c r="D36">
        <f t="shared" si="1"/>
        <v>-1.7206807487617812E-2</v>
      </c>
      <c r="E36">
        <f t="shared" si="2"/>
        <v>2.9607422391594038E-4</v>
      </c>
    </row>
    <row r="37" spans="1:5" x14ac:dyDescent="0.25">
      <c r="A37">
        <v>2.8169887253125001</v>
      </c>
      <c r="B37">
        <v>0</v>
      </c>
      <c r="C37">
        <f t="shared" si="0"/>
        <v>1.3316457144454267E-2</v>
      </c>
      <c r="D37">
        <f t="shared" si="1"/>
        <v>-1.3316457144454267E-2</v>
      </c>
      <c r="E37">
        <f t="shared" si="2"/>
        <v>1.7732803088008707E-4</v>
      </c>
    </row>
    <row r="38" spans="1:5" x14ac:dyDescent="0.25">
      <c r="A38">
        <v>2.8917803229374996</v>
      </c>
      <c r="B38">
        <v>0</v>
      </c>
      <c r="C38">
        <f t="shared" si="0"/>
        <v>1.0230427513576524E-2</v>
      </c>
      <c r="D38">
        <f t="shared" si="1"/>
        <v>-1.0230427513576524E-2</v>
      </c>
      <c r="E38">
        <f t="shared" si="2"/>
        <v>1.0466164711054353E-4</v>
      </c>
    </row>
    <row r="39" spans="1:5" x14ac:dyDescent="0.25">
      <c r="A39">
        <v>2.9665719205625001</v>
      </c>
      <c r="B39">
        <v>0</v>
      </c>
      <c r="C39">
        <f t="shared" si="0"/>
        <v>7.8025732754305206E-3</v>
      </c>
      <c r="D39">
        <f t="shared" si="1"/>
        <v>-7.8025732754305206E-3</v>
      </c>
      <c r="E39">
        <f t="shared" si="2"/>
        <v>6.0880149718462562E-5</v>
      </c>
    </row>
    <row r="40" spans="1:5" x14ac:dyDescent="0.25">
      <c r="A40">
        <v>3.0413635181874996</v>
      </c>
      <c r="B40">
        <v>8.4027689040751653E-4</v>
      </c>
      <c r="C40">
        <f t="shared" si="0"/>
        <v>5.9080196923168701E-3</v>
      </c>
      <c r="D40">
        <f t="shared" si="1"/>
        <v>-5.0677428019093532E-3</v>
      </c>
      <c r="E40">
        <f t="shared" si="2"/>
        <v>2.5682017106304064E-5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91BD-D21D-410A-B91F-BC306DA33A9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0.14098265703749999</v>
      </c>
      <c r="B1">
        <v>0.10206888146214474</v>
      </c>
      <c r="C1">
        <f>$H$3*(1+$H$1)*(A1^($H$1))*EXP(-$H$3*(A1^(1+$H$1)))</f>
        <v>0.22146918514728958</v>
      </c>
      <c r="D1">
        <f>B1-C1</f>
        <v>-0.11940030368514484</v>
      </c>
      <c r="E1">
        <f>D1^2</f>
        <v>1.4256432520104813E-2</v>
      </c>
      <c r="G1" t="s">
        <v>0</v>
      </c>
      <c r="H1">
        <v>0.98998027385320009</v>
      </c>
    </row>
    <row r="2" spans="1:8" x14ac:dyDescent="0.25">
      <c r="A2">
        <v>0.21363738511249999</v>
      </c>
      <c r="B2">
        <v>0.20586774396602076</v>
      </c>
      <c r="C2">
        <f t="shared" ref="C2:C40" si="0">$H$3*(1+$H$1)*(A2^($H$1))*EXP(-$H$3*(A2^(1+$H$1)))</f>
        <v>0.32742156299643238</v>
      </c>
      <c r="D2">
        <f t="shared" ref="D2:D40" si="1">B2-C2</f>
        <v>-0.12155381903041163</v>
      </c>
      <c r="E2">
        <f t="shared" ref="E2:E40" si="2">D2^2</f>
        <v>1.4775330920878059E-2</v>
      </c>
    </row>
    <row r="3" spans="1:8" x14ac:dyDescent="0.25">
      <c r="A3">
        <v>0.28629211318749997</v>
      </c>
      <c r="B3">
        <v>0.47574478647609836</v>
      </c>
      <c r="C3">
        <f t="shared" si="0"/>
        <v>0.42505863594790572</v>
      </c>
      <c r="D3">
        <f t="shared" si="1"/>
        <v>5.0686150528192642E-2</v>
      </c>
      <c r="E3">
        <f t="shared" si="2"/>
        <v>2.5690858553666031E-3</v>
      </c>
      <c r="G3" t="s">
        <v>1</v>
      </c>
      <c r="H3">
        <f>(_xlfn.GAMMA((2+$H$1)/(1+$H$1)))^(1+$H$1)</f>
        <v>0.78649763001944495</v>
      </c>
    </row>
    <row r="4" spans="1:8" x14ac:dyDescent="0.25">
      <c r="A4">
        <v>0.35894684126249998</v>
      </c>
      <c r="B4">
        <v>0.58646357314689945</v>
      </c>
      <c r="C4">
        <f t="shared" si="0"/>
        <v>0.51235576367283386</v>
      </c>
      <c r="D4">
        <f t="shared" si="1"/>
        <v>7.4107809474065589E-2</v>
      </c>
      <c r="E4">
        <f t="shared" si="2"/>
        <v>5.4919674250444054E-3</v>
      </c>
    </row>
    <row r="5" spans="1:8" x14ac:dyDescent="0.25">
      <c r="A5">
        <v>0.43160156933749999</v>
      </c>
      <c r="B5">
        <v>0.60635835512680902</v>
      </c>
      <c r="C5">
        <f t="shared" si="0"/>
        <v>0.58765129427525675</v>
      </c>
      <c r="D5">
        <f t="shared" si="1"/>
        <v>1.8707060851552271E-2</v>
      </c>
      <c r="E5">
        <f t="shared" si="2"/>
        <v>3.4995412570367959E-4</v>
      </c>
      <c r="G5" t="s">
        <v>2</v>
      </c>
      <c r="H5">
        <f>SUM(E1:E40)</f>
        <v>0.3373424947059997</v>
      </c>
    </row>
    <row r="6" spans="1:8" x14ac:dyDescent="0.25">
      <c r="A6">
        <v>0.5042562974125</v>
      </c>
      <c r="B6">
        <v>0.64268795700316561</v>
      </c>
      <c r="C6">
        <f t="shared" si="0"/>
        <v>0.64971976914027862</v>
      </c>
      <c r="D6">
        <f t="shared" si="1"/>
        <v>-7.0318121371130138E-3</v>
      </c>
      <c r="E6">
        <f t="shared" si="2"/>
        <v>4.9446381931649888E-5</v>
      </c>
    </row>
    <row r="7" spans="1:8" x14ac:dyDescent="0.25">
      <c r="A7">
        <v>0.57691102548749995</v>
      </c>
      <c r="B7">
        <v>0.69545237877596922</v>
      </c>
      <c r="C7">
        <f t="shared" si="0"/>
        <v>0.69780862744103234</v>
      </c>
      <c r="D7">
        <f t="shared" si="1"/>
        <v>-2.3562486650631209E-3</v>
      </c>
      <c r="E7">
        <f t="shared" si="2"/>
        <v>5.5519077716117396E-6</v>
      </c>
    </row>
    <row r="8" spans="1:8" x14ac:dyDescent="0.25">
      <c r="A8">
        <v>0.64956575356250001</v>
      </c>
      <c r="B8">
        <v>0.81309108961369536</v>
      </c>
      <c r="C8">
        <f t="shared" si="0"/>
        <v>0.73164625409510697</v>
      </c>
      <c r="D8">
        <f t="shared" si="1"/>
        <v>8.1444835518588388E-2</v>
      </c>
      <c r="E8">
        <f t="shared" si="2"/>
        <v>6.6332612326499164E-3</v>
      </c>
    </row>
    <row r="9" spans="1:8" x14ac:dyDescent="0.25">
      <c r="A9">
        <v>0.72222048163749997</v>
      </c>
      <c r="B9">
        <v>1.0310687008718349</v>
      </c>
      <c r="C9">
        <f t="shared" si="0"/>
        <v>0.75142498621537612</v>
      </c>
      <c r="D9">
        <f t="shared" si="1"/>
        <v>0.27964371465645876</v>
      </c>
      <c r="E9">
        <f t="shared" si="2"/>
        <v>7.820060714686293E-2</v>
      </c>
    </row>
    <row r="10" spans="1:8" x14ac:dyDescent="0.25">
      <c r="A10">
        <v>0.79487520971250003</v>
      </c>
      <c r="B10">
        <v>1.0552884354560728</v>
      </c>
      <c r="C10">
        <f t="shared" si="0"/>
        <v>0.75776251190115573</v>
      </c>
      <c r="D10">
        <f t="shared" si="1"/>
        <v>0.29752592355491703</v>
      </c>
      <c r="E10">
        <f t="shared" si="2"/>
        <v>8.8521675187206328E-2</v>
      </c>
    </row>
    <row r="11" spans="1:8" x14ac:dyDescent="0.25">
      <c r="A11">
        <v>0.86752993778750009</v>
      </c>
      <c r="B11">
        <v>0.91948492368016832</v>
      </c>
      <c r="C11">
        <f t="shared" si="0"/>
        <v>0.75164569153210203</v>
      </c>
      <c r="D11">
        <f t="shared" si="1"/>
        <v>0.16783923214806629</v>
      </c>
      <c r="E11">
        <f t="shared" si="2"/>
        <v>2.8170007848052486E-2</v>
      </c>
    </row>
    <row r="12" spans="1:8" x14ac:dyDescent="0.25">
      <c r="A12">
        <v>0.94018466586249994</v>
      </c>
      <c r="B12">
        <v>0.75946167732002612</v>
      </c>
      <c r="C12">
        <f t="shared" si="0"/>
        <v>0.73436141941814814</v>
      </c>
      <c r="D12">
        <f t="shared" si="1"/>
        <v>2.5100257901877976E-2</v>
      </c>
      <c r="E12">
        <f t="shared" si="2"/>
        <v>6.3002294674078781E-4</v>
      </c>
    </row>
    <row r="13" spans="1:8" x14ac:dyDescent="0.25">
      <c r="A13">
        <v>1.0128393939375</v>
      </c>
      <c r="B13">
        <v>0.63317306127364359</v>
      </c>
      <c r="C13">
        <f t="shared" si="0"/>
        <v>0.707419479353394</v>
      </c>
      <c r="D13">
        <f t="shared" si="1"/>
        <v>-7.4246418079750409E-2</v>
      </c>
      <c r="E13">
        <f t="shared" si="2"/>
        <v>5.5125305976730888E-3</v>
      </c>
    </row>
    <row r="14" spans="1:8" x14ac:dyDescent="0.25">
      <c r="A14">
        <v>1.0854941220124998</v>
      </c>
      <c r="B14">
        <v>0.57002875325045244</v>
      </c>
      <c r="C14">
        <f t="shared" si="0"/>
        <v>0.67247235830310526</v>
      </c>
      <c r="D14">
        <f t="shared" si="1"/>
        <v>-0.10244360505265282</v>
      </c>
      <c r="E14">
        <f t="shared" si="2"/>
        <v>1.0494692216183914E-2</v>
      </c>
    </row>
    <row r="15" spans="1:8" x14ac:dyDescent="0.25">
      <c r="A15">
        <v>1.1581488500875001</v>
      </c>
      <c r="B15">
        <v>0.48871964428908288</v>
      </c>
      <c r="C15">
        <f t="shared" si="0"/>
        <v>0.63123667011228268</v>
      </c>
      <c r="D15">
        <f t="shared" si="1"/>
        <v>-0.14251702582319981</v>
      </c>
      <c r="E15">
        <f t="shared" si="2"/>
        <v>2.0311102649490601E-2</v>
      </c>
    </row>
    <row r="16" spans="1:8" x14ac:dyDescent="0.25">
      <c r="A16">
        <v>1.2308035781625</v>
      </c>
      <c r="B16">
        <v>0.47920474855956091</v>
      </c>
      <c r="C16">
        <f t="shared" si="0"/>
        <v>0.58542024969934858</v>
      </c>
      <c r="D16">
        <f t="shared" si="1"/>
        <v>-0.10621550113978767</v>
      </c>
      <c r="E16">
        <f t="shared" si="2"/>
        <v>1.1281732682376236E-2</v>
      </c>
    </row>
    <row r="17" spans="1:5" x14ac:dyDescent="0.25">
      <c r="A17">
        <v>1.3034583062374998</v>
      </c>
      <c r="B17">
        <v>0.43422524147454794</v>
      </c>
      <c r="C17">
        <f t="shared" si="0"/>
        <v>0.53665817661565063</v>
      </c>
      <c r="D17">
        <f t="shared" si="1"/>
        <v>-0.10243293514110269</v>
      </c>
      <c r="E17">
        <f t="shared" si="2"/>
        <v>1.049250620162135E-2</v>
      </c>
    </row>
    <row r="18" spans="1:5" x14ac:dyDescent="0.25">
      <c r="A18">
        <v>1.3761130343124999</v>
      </c>
      <c r="B18">
        <v>0.39184070595213194</v>
      </c>
      <c r="C18">
        <f t="shared" si="0"/>
        <v>0.48646005680028004</v>
      </c>
      <c r="D18">
        <f t="shared" si="1"/>
        <v>-9.4619350848148098E-2</v>
      </c>
      <c r="E18">
        <f t="shared" si="2"/>
        <v>8.9528215549249442E-3</v>
      </c>
    </row>
    <row r="19" spans="1:5" x14ac:dyDescent="0.25">
      <c r="A19">
        <v>1.4487677623874999</v>
      </c>
      <c r="B19">
        <v>0.33475133157500009</v>
      </c>
      <c r="C19">
        <f t="shared" si="0"/>
        <v>0.43616991708497233</v>
      </c>
      <c r="D19">
        <f t="shared" si="1"/>
        <v>-0.10141858550997224</v>
      </c>
      <c r="E19">
        <f t="shared" si="2"/>
        <v>1.028572948684355E-2</v>
      </c>
    </row>
    <row r="20" spans="1:5" x14ac:dyDescent="0.25">
      <c r="A20">
        <v>1.5214224904624998</v>
      </c>
      <c r="B20">
        <v>0.33042637897067195</v>
      </c>
      <c r="C20">
        <f t="shared" si="0"/>
        <v>0.38693912677775949</v>
      </c>
      <c r="D20">
        <f t="shared" si="1"/>
        <v>-5.6512747807087538E-2</v>
      </c>
      <c r="E20">
        <f t="shared" si="2"/>
        <v>3.1936906647074773E-3</v>
      </c>
    </row>
    <row r="21" spans="1:5" x14ac:dyDescent="0.25">
      <c r="A21">
        <v>1.5940772185375001</v>
      </c>
      <c r="B21">
        <v>0.3131265685533593</v>
      </c>
      <c r="C21">
        <f t="shared" si="0"/>
        <v>0.3397119201866638</v>
      </c>
      <c r="D21">
        <f t="shared" si="1"/>
        <v>-2.6585351633304499E-2</v>
      </c>
      <c r="E21">
        <f t="shared" si="2"/>
        <v>7.0678092146644618E-4</v>
      </c>
    </row>
    <row r="22" spans="1:5" x14ac:dyDescent="0.25">
      <c r="A22">
        <v>1.6667319466124999</v>
      </c>
      <c r="B22">
        <v>0.25690218469709314</v>
      </c>
      <c r="C22">
        <f t="shared" si="0"/>
        <v>0.29522240200495881</v>
      </c>
      <c r="D22">
        <f t="shared" si="1"/>
        <v>-3.8320217307865667E-2</v>
      </c>
      <c r="E22">
        <f t="shared" si="2"/>
        <v>1.4684390545220475E-3</v>
      </c>
    </row>
    <row r="23" spans="1:5" x14ac:dyDescent="0.25">
      <c r="A23">
        <v>1.7393866746875</v>
      </c>
      <c r="B23">
        <v>0.21970759229987089</v>
      </c>
      <c r="C23">
        <f t="shared" si="0"/>
        <v>0.25400140381737008</v>
      </c>
      <c r="D23">
        <f t="shared" si="1"/>
        <v>-3.429381151749919E-2</v>
      </c>
      <c r="E23">
        <f t="shared" si="2"/>
        <v>1.1760655083977601E-3</v>
      </c>
    </row>
    <row r="24" spans="1:5" x14ac:dyDescent="0.25">
      <c r="A24">
        <v>1.8120414027624998</v>
      </c>
      <c r="B24">
        <v>0.23960237427978046</v>
      </c>
      <c r="C24">
        <f t="shared" si="0"/>
        <v>0.21639123541885016</v>
      </c>
      <c r="D24">
        <f t="shared" si="1"/>
        <v>2.3211138860930292E-2</v>
      </c>
      <c r="E24">
        <f t="shared" si="2"/>
        <v>5.3875696722138831E-4</v>
      </c>
    </row>
    <row r="25" spans="1:5" x14ac:dyDescent="0.25">
      <c r="A25">
        <v>1.8846961308374999</v>
      </c>
      <c r="B25">
        <v>0.21278766813294581</v>
      </c>
      <c r="C25">
        <f t="shared" si="0"/>
        <v>0.18256623295711721</v>
      </c>
      <c r="D25">
        <f t="shared" si="1"/>
        <v>3.0221435175828593E-2</v>
      </c>
      <c r="E25">
        <f t="shared" si="2"/>
        <v>9.1333514408680979E-4</v>
      </c>
    </row>
    <row r="26" spans="1:5" x14ac:dyDescent="0.25">
      <c r="A26">
        <v>1.9573508589124997</v>
      </c>
      <c r="B26">
        <v>0.16261821792273906</v>
      </c>
      <c r="C26">
        <f t="shared" si="0"/>
        <v>0.15255702713596986</v>
      </c>
      <c r="D26">
        <f t="shared" si="1"/>
        <v>1.0061190786769203E-2</v>
      </c>
      <c r="E26">
        <f t="shared" si="2"/>
        <v>1.012275600477695E-4</v>
      </c>
    </row>
    <row r="27" spans="1:5" x14ac:dyDescent="0.25">
      <c r="A27">
        <v>2.0300055869875</v>
      </c>
      <c r="B27">
        <v>0.14964336010975457</v>
      </c>
      <c r="C27">
        <f t="shared" si="0"/>
        <v>0.12627660913202407</v>
      </c>
      <c r="D27">
        <f t="shared" si="1"/>
        <v>2.3366750977730499E-2</v>
      </c>
      <c r="E27">
        <f t="shared" si="2"/>
        <v>5.4600505125526925E-4</v>
      </c>
    </row>
    <row r="28" spans="1:5" x14ac:dyDescent="0.25">
      <c r="A28">
        <v>2.1026603150624998</v>
      </c>
      <c r="B28">
        <v>0.17559307573572358</v>
      </c>
      <c r="C28">
        <f t="shared" si="0"/>
        <v>0.1035465243129373</v>
      </c>
      <c r="D28">
        <f t="shared" si="1"/>
        <v>7.2046551422786279E-2</v>
      </c>
      <c r="E28">
        <f t="shared" si="2"/>
        <v>5.1907055719161875E-3</v>
      </c>
    </row>
    <row r="29" spans="1:5" x14ac:dyDescent="0.25">
      <c r="A29">
        <v>2.1753150431375001</v>
      </c>
      <c r="B29">
        <v>0.10812381510820417</v>
      </c>
      <c r="C29">
        <f t="shared" si="0"/>
        <v>8.4121837721377338E-2</v>
      </c>
      <c r="D29">
        <f t="shared" si="1"/>
        <v>2.4001977386826828E-2</v>
      </c>
      <c r="E29">
        <f t="shared" si="2"/>
        <v>5.7609491847774642E-4</v>
      </c>
    </row>
    <row r="30" spans="1:5" x14ac:dyDescent="0.25">
      <c r="A30">
        <v>2.2479697712125</v>
      </c>
      <c r="B30">
        <v>9.86089193786822E-2</v>
      </c>
      <c r="C30">
        <f t="shared" si="0"/>
        <v>6.7713856057855029E-2</v>
      </c>
      <c r="D30">
        <f t="shared" si="1"/>
        <v>3.0895063320827171E-2</v>
      </c>
      <c r="E30">
        <f t="shared" si="2"/>
        <v>9.5450493759792043E-4</v>
      </c>
    </row>
    <row r="31" spans="1:5" x14ac:dyDescent="0.25">
      <c r="A31">
        <v>2.3206244992874998</v>
      </c>
      <c r="B31">
        <v>0.10466385302474164</v>
      </c>
      <c r="C31">
        <f t="shared" si="0"/>
        <v>5.400992863852648E-2</v>
      </c>
      <c r="D31">
        <f t="shared" si="1"/>
        <v>5.065392438621516E-2</v>
      </c>
      <c r="E31">
        <f t="shared" si="2"/>
        <v>2.5658200557244029E-3</v>
      </c>
    </row>
    <row r="32" spans="1:5" x14ac:dyDescent="0.25">
      <c r="A32">
        <v>2.3932792273625001</v>
      </c>
      <c r="B32">
        <v>7.1794213231847565E-2</v>
      </c>
      <c r="C32">
        <f t="shared" si="0"/>
        <v>4.2689960890441025E-2</v>
      </c>
      <c r="D32">
        <f t="shared" si="1"/>
        <v>2.9104252341406539E-2</v>
      </c>
      <c r="E32">
        <f t="shared" si="2"/>
        <v>8.4705750435226798E-4</v>
      </c>
    </row>
    <row r="33" spans="1:5" x14ac:dyDescent="0.25">
      <c r="A33">
        <v>2.4659339554375004</v>
      </c>
      <c r="B33">
        <v>5.7089374377131803E-2</v>
      </c>
      <c r="C33">
        <f t="shared" si="0"/>
        <v>3.3439541771390212E-2</v>
      </c>
      <c r="D33">
        <f t="shared" si="1"/>
        <v>2.3649832605741591E-2</v>
      </c>
      <c r="E33">
        <f t="shared" si="2"/>
        <v>5.5931458227959812E-4</v>
      </c>
    </row>
    <row r="34" spans="1:5" x14ac:dyDescent="0.25">
      <c r="A34">
        <v>2.5385886835124998</v>
      </c>
      <c r="B34">
        <v>3.7194592397222233E-2</v>
      </c>
      <c r="C34">
        <f t="shared" si="0"/>
        <v>2.5959801418152115E-2</v>
      </c>
      <c r="D34">
        <f t="shared" si="1"/>
        <v>1.1234790979070118E-2</v>
      </c>
      <c r="E34">
        <f t="shared" si="2"/>
        <v>1.2622052834339531E-4</v>
      </c>
    </row>
    <row r="35" spans="1:5" x14ac:dyDescent="0.25">
      <c r="A35">
        <v>2.6112434115874996</v>
      </c>
      <c r="B35">
        <v>0</v>
      </c>
      <c r="C35">
        <f t="shared" si="0"/>
        <v>1.9974273952829701E-2</v>
      </c>
      <c r="D35">
        <f t="shared" si="1"/>
        <v>-1.9974273952829701E-2</v>
      </c>
      <c r="E35">
        <f t="shared" si="2"/>
        <v>3.9897161994269107E-4</v>
      </c>
    </row>
    <row r="36" spans="1:5" x14ac:dyDescent="0.25">
      <c r="A36">
        <v>2.6838981396624995</v>
      </c>
      <c r="B36">
        <v>0</v>
      </c>
      <c r="C36">
        <f t="shared" si="0"/>
        <v>1.5233144475704197E-2</v>
      </c>
      <c r="D36">
        <f t="shared" si="1"/>
        <v>-1.5233144475704197E-2</v>
      </c>
      <c r="E36">
        <f t="shared" si="2"/>
        <v>2.320486906176773E-4</v>
      </c>
    </row>
    <row r="37" spans="1:5" x14ac:dyDescent="0.25">
      <c r="A37">
        <v>2.7565528677374997</v>
      </c>
      <c r="B37">
        <v>0</v>
      </c>
      <c r="C37">
        <f t="shared" si="0"/>
        <v>1.1515314419556361E-2</v>
      </c>
      <c r="D37">
        <f t="shared" si="1"/>
        <v>-1.1515314419556361E-2</v>
      </c>
      <c r="E37">
        <f t="shared" si="2"/>
        <v>1.3260246618124265E-4</v>
      </c>
    </row>
    <row r="38" spans="1:5" x14ac:dyDescent="0.25">
      <c r="A38">
        <v>2.8292075958125</v>
      </c>
      <c r="B38">
        <v>0</v>
      </c>
      <c r="C38">
        <f t="shared" si="0"/>
        <v>8.6287336502111015E-3</v>
      </c>
      <c r="D38">
        <f t="shared" si="1"/>
        <v>-8.6287336502111015E-3</v>
      </c>
      <c r="E38">
        <f t="shared" si="2"/>
        <v>7.4455044406285403E-5</v>
      </c>
    </row>
    <row r="39" spans="1:5" x14ac:dyDescent="0.25">
      <c r="A39">
        <v>2.9018623238874994</v>
      </c>
      <c r="B39">
        <v>0</v>
      </c>
      <c r="C39">
        <f t="shared" si="0"/>
        <v>6.409430162697914E-3</v>
      </c>
      <c r="D39">
        <f t="shared" si="1"/>
        <v>-6.409430162697914E-3</v>
      </c>
      <c r="E39">
        <f t="shared" si="2"/>
        <v>4.1080795010501807E-5</v>
      </c>
    </row>
    <row r="40" spans="1:5" x14ac:dyDescent="0.25">
      <c r="A40">
        <v>2.9745170519624997</v>
      </c>
      <c r="B40">
        <v>8.6499052086563334E-4</v>
      </c>
      <c r="C40">
        <f t="shared" si="0"/>
        <v>4.7196282493472087E-3</v>
      </c>
      <c r="D40">
        <f t="shared" si="1"/>
        <v>-3.8546377284815756E-3</v>
      </c>
      <c r="E40">
        <f t="shared" si="2"/>
        <v>1.4858232017833601E-5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E6D1-EE3E-42C4-822E-340922EB902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0.16246308310000002</v>
      </c>
      <c r="B1">
        <v>9.8158538497795725E-2</v>
      </c>
      <c r="C1">
        <f>$H$3*(1+$H$1)*(A1^($H$1))*EXP(-$H$3*(A1^(1+$H$1)))</f>
        <v>0.21658316103305475</v>
      </c>
      <c r="D1">
        <f>B1-C1</f>
        <v>-0.11842462253525902</v>
      </c>
      <c r="E1">
        <f>D1^2</f>
        <v>1.402439122261858E-2</v>
      </c>
      <c r="G1" t="s">
        <v>0</v>
      </c>
      <c r="H1">
        <v>1.1005015008821362</v>
      </c>
    </row>
    <row r="2" spans="1:8" x14ac:dyDescent="0.25">
      <c r="A2">
        <v>0.2328901873</v>
      </c>
      <c r="B2">
        <v>0.2025635294454512</v>
      </c>
      <c r="C2">
        <f t="shared" ref="C2:C40" si="0">$H$3*(1+$H$1)*(A2^($H$1))*EXP(-$H$3*(A2^(1+$H$1)))</f>
        <v>0.31577105780452203</v>
      </c>
      <c r="D2">
        <f t="shared" ref="D2:D40" si="1">B2-C2</f>
        <v>-0.11320752835907083</v>
      </c>
      <c r="E2">
        <f t="shared" ref="E2:E40" si="2">D2^2</f>
        <v>1.2815944477169825E-2</v>
      </c>
    </row>
    <row r="3" spans="1:8" x14ac:dyDescent="0.25">
      <c r="A3">
        <v>0.30331729149999997</v>
      </c>
      <c r="B3">
        <v>0.3979882560910627</v>
      </c>
      <c r="C3">
        <f t="shared" si="0"/>
        <v>0.411105014304535</v>
      </c>
      <c r="D3">
        <f t="shared" si="1"/>
        <v>-1.3116758213472302E-2</v>
      </c>
      <c r="E3">
        <f t="shared" si="2"/>
        <v>1.7204934603069308E-4</v>
      </c>
      <c r="G3" t="s">
        <v>1</v>
      </c>
      <c r="H3">
        <f>(_xlfn.GAMMA((2+$H$1)/(1+$H$1)))^(1+$H$1)</f>
        <v>0.7749389586165023</v>
      </c>
    </row>
    <row r="4" spans="1:8" x14ac:dyDescent="0.25">
      <c r="A4">
        <v>0.37374439570000001</v>
      </c>
      <c r="B4">
        <v>0.62732229603591272</v>
      </c>
      <c r="C4">
        <f t="shared" si="0"/>
        <v>0.49960238860106648</v>
      </c>
      <c r="D4">
        <f t="shared" si="1"/>
        <v>0.12771990743484624</v>
      </c>
      <c r="E4">
        <f t="shared" si="2"/>
        <v>1.6312374755165691E-2</v>
      </c>
    </row>
    <row r="5" spans="1:8" x14ac:dyDescent="0.25">
      <c r="A5">
        <v>0.44417149990000004</v>
      </c>
      <c r="B5">
        <v>0.62553759533595277</v>
      </c>
      <c r="C5">
        <f t="shared" si="0"/>
        <v>0.57879171047179012</v>
      </c>
      <c r="D5">
        <f t="shared" si="1"/>
        <v>4.6745884864162646E-2</v>
      </c>
      <c r="E5">
        <f t="shared" si="2"/>
        <v>2.1851777517335504E-3</v>
      </c>
      <c r="G5" t="s">
        <v>2</v>
      </c>
      <c r="H5">
        <f>SUM(E1:E40)</f>
        <v>0.3595470341422039</v>
      </c>
    </row>
    <row r="6" spans="1:8" x14ac:dyDescent="0.25">
      <c r="A6">
        <v>0.51459860410000002</v>
      </c>
      <c r="B6">
        <v>0.64427695268553198</v>
      </c>
      <c r="C6">
        <f t="shared" si="0"/>
        <v>0.64668804426953996</v>
      </c>
      <c r="D6">
        <f t="shared" si="1"/>
        <v>-2.411091584007985E-3</v>
      </c>
      <c r="E6">
        <f t="shared" si="2"/>
        <v>5.8133626264741342E-6</v>
      </c>
    </row>
    <row r="7" spans="1:8" x14ac:dyDescent="0.25">
      <c r="A7">
        <v>0.5850257083</v>
      </c>
      <c r="B7">
        <v>0.73083493663358823</v>
      </c>
      <c r="C7">
        <f t="shared" si="0"/>
        <v>0.70181319297912559</v>
      </c>
      <c r="D7">
        <f t="shared" si="1"/>
        <v>2.9021743654462639E-2</v>
      </c>
      <c r="E7">
        <f t="shared" si="2"/>
        <v>8.4226160474534253E-4</v>
      </c>
    </row>
    <row r="8" spans="1:8" x14ac:dyDescent="0.25">
      <c r="A8">
        <v>0.65545281250000009</v>
      </c>
      <c r="B8">
        <v>0.78616065833234583</v>
      </c>
      <c r="C8">
        <f t="shared" si="0"/>
        <v>0.74321635375910389</v>
      </c>
      <c r="D8">
        <f t="shared" si="1"/>
        <v>4.2944304573241943E-2</v>
      </c>
      <c r="E8">
        <f t="shared" si="2"/>
        <v>1.8442132952793688E-3</v>
      </c>
    </row>
    <row r="9" spans="1:8" x14ac:dyDescent="0.25">
      <c r="A9">
        <v>0.72587991670000007</v>
      </c>
      <c r="B9">
        <v>0.92447496257923978</v>
      </c>
      <c r="C9">
        <f t="shared" si="0"/>
        <v>0.77047933041180372</v>
      </c>
      <c r="D9">
        <f t="shared" si="1"/>
        <v>0.15399563216743606</v>
      </c>
      <c r="E9">
        <f t="shared" si="2"/>
        <v>2.3714654726648268E-2</v>
      </c>
    </row>
    <row r="10" spans="1:8" x14ac:dyDescent="0.25">
      <c r="A10">
        <v>0.79630702089999994</v>
      </c>
      <c r="B10">
        <v>1.1547013528740697</v>
      </c>
      <c r="C10">
        <f t="shared" si="0"/>
        <v>0.78370048689003746</v>
      </c>
      <c r="D10">
        <f t="shared" si="1"/>
        <v>0.37100086598403226</v>
      </c>
      <c r="E10">
        <f t="shared" si="2"/>
        <v>0.13764164256090186</v>
      </c>
    </row>
    <row r="11" spans="1:8" x14ac:dyDescent="0.25">
      <c r="A11">
        <v>0.86673412510000003</v>
      </c>
      <c r="B11">
        <v>0.95213782342861863</v>
      </c>
      <c r="C11">
        <f t="shared" si="0"/>
        <v>0.78345650418307</v>
      </c>
      <c r="D11">
        <f t="shared" si="1"/>
        <v>0.16868131924554863</v>
      </c>
      <c r="E11">
        <f t="shared" si="2"/>
        <v>2.8453387462418697E-2</v>
      </c>
    </row>
    <row r="12" spans="1:8" x14ac:dyDescent="0.25">
      <c r="A12">
        <v>0.93716122930000001</v>
      </c>
      <c r="B12">
        <v>0.87718039403030179</v>
      </c>
      <c r="C12">
        <f t="shared" si="0"/>
        <v>0.77074393554709986</v>
      </c>
      <c r="D12">
        <f t="shared" si="1"/>
        <v>0.10643645848320193</v>
      </c>
      <c r="E12">
        <f t="shared" si="2"/>
        <v>1.1328719694446369E-2</v>
      </c>
    </row>
    <row r="13" spans="1:8" x14ac:dyDescent="0.25">
      <c r="A13">
        <v>1.0075883334999998</v>
      </c>
      <c r="B13">
        <v>0.70763382753410919</v>
      </c>
      <c r="C13">
        <f t="shared" si="0"/>
        <v>0.74690447573576912</v>
      </c>
      <c r="D13">
        <f t="shared" si="1"/>
        <v>-3.927064820165993E-2</v>
      </c>
      <c r="E13">
        <f t="shared" si="2"/>
        <v>1.5421838101785364E-3</v>
      </c>
    </row>
    <row r="14" spans="1:8" x14ac:dyDescent="0.25">
      <c r="A14">
        <v>1.0780154377</v>
      </c>
      <c r="B14">
        <v>0.65230810583535159</v>
      </c>
      <c r="C14">
        <f t="shared" si="0"/>
        <v>0.71353905721353272</v>
      </c>
      <c r="D14">
        <f t="shared" si="1"/>
        <v>-6.1230951378181131E-2</v>
      </c>
      <c r="E14">
        <f t="shared" si="2"/>
        <v>3.7492294066771817E-3</v>
      </c>
    </row>
    <row r="15" spans="1:8" x14ac:dyDescent="0.25">
      <c r="A15">
        <v>1.1484425419000002</v>
      </c>
      <c r="B15">
        <v>0.49614679458885841</v>
      </c>
      <c r="C15">
        <f t="shared" si="0"/>
        <v>0.67241646383631581</v>
      </c>
      <c r="D15">
        <f t="shared" si="1"/>
        <v>-0.17626966924745741</v>
      </c>
      <c r="E15">
        <f t="shared" si="2"/>
        <v>3.107099629660803E-2</v>
      </c>
    </row>
    <row r="16" spans="1:8" x14ac:dyDescent="0.25">
      <c r="A16">
        <v>1.2188696460999999</v>
      </c>
      <c r="B16">
        <v>0.51220910088849769</v>
      </c>
      <c r="C16">
        <f t="shared" si="0"/>
        <v>0.62538217500300974</v>
      </c>
      <c r="D16">
        <f t="shared" si="1"/>
        <v>-0.11317307411451205</v>
      </c>
      <c r="E16">
        <f t="shared" si="2"/>
        <v>1.2808144704528839E-2</v>
      </c>
    </row>
    <row r="17" spans="1:5" x14ac:dyDescent="0.25">
      <c r="A17">
        <v>1.2892967502999999</v>
      </c>
      <c r="B17">
        <v>0.46312983163959986</v>
      </c>
      <c r="C17">
        <f t="shared" si="0"/>
        <v>0.57427269553948301</v>
      </c>
      <c r="D17">
        <f t="shared" si="1"/>
        <v>-0.11114286389988315</v>
      </c>
      <c r="E17">
        <f t="shared" si="2"/>
        <v>1.2352736195867948E-2</v>
      </c>
    </row>
    <row r="18" spans="1:5" x14ac:dyDescent="0.25">
      <c r="A18">
        <v>1.3597238544999999</v>
      </c>
      <c r="B18">
        <v>0.3979882560910627</v>
      </c>
      <c r="C18">
        <f t="shared" si="0"/>
        <v>0.52083978561193089</v>
      </c>
      <c r="D18">
        <f t="shared" si="1"/>
        <v>-0.1228515295208682</v>
      </c>
      <c r="E18">
        <f t="shared" si="2"/>
        <v>1.509249830561675E-2</v>
      </c>
    </row>
    <row r="19" spans="1:5" x14ac:dyDescent="0.25">
      <c r="A19">
        <v>1.4301509587000001</v>
      </c>
      <c r="B19">
        <v>0.37211009594164379</v>
      </c>
      <c r="C19">
        <f t="shared" si="0"/>
        <v>0.46668789723464327</v>
      </c>
      <c r="D19">
        <f t="shared" si="1"/>
        <v>-9.4577801292999475E-2</v>
      </c>
      <c r="E19">
        <f t="shared" si="2"/>
        <v>8.9449604974180929E-3</v>
      </c>
    </row>
    <row r="20" spans="1:5" x14ac:dyDescent="0.25">
      <c r="A20">
        <v>1.5005780628999998</v>
      </c>
      <c r="B20">
        <v>0.32035377564280609</v>
      </c>
      <c r="C20">
        <f t="shared" si="0"/>
        <v>0.41322687566220373</v>
      </c>
      <c r="D20">
        <f t="shared" si="1"/>
        <v>-9.2873100019397636E-2</v>
      </c>
      <c r="E20">
        <f t="shared" si="2"/>
        <v>8.6254127072130371E-3</v>
      </c>
    </row>
    <row r="21" spans="1:5" x14ac:dyDescent="0.25">
      <c r="A21">
        <v>1.5710051671</v>
      </c>
      <c r="B21">
        <v>0.32749257844264573</v>
      </c>
      <c r="C21">
        <f t="shared" si="0"/>
        <v>0.3616407191899067</v>
      </c>
      <c r="D21">
        <f t="shared" si="1"/>
        <v>-3.4148140747260969E-2</v>
      </c>
      <c r="E21">
        <f t="shared" si="2"/>
        <v>1.166095516494745E-3</v>
      </c>
    </row>
    <row r="22" spans="1:5" x14ac:dyDescent="0.25">
      <c r="A22">
        <v>1.6414322713</v>
      </c>
      <c r="B22">
        <v>0.26859745534396834</v>
      </c>
      <c r="C22">
        <f t="shared" si="0"/>
        <v>0.31287202005827508</v>
      </c>
      <c r="D22">
        <f t="shared" si="1"/>
        <v>-4.4274564714306741E-2</v>
      </c>
      <c r="E22">
        <f t="shared" si="2"/>
        <v>1.9602370806413357E-3</v>
      </c>
    </row>
    <row r="23" spans="1:5" x14ac:dyDescent="0.25">
      <c r="A23">
        <v>1.7118593755</v>
      </c>
      <c r="B23">
        <v>0.2578892511442088</v>
      </c>
      <c r="C23">
        <f t="shared" si="0"/>
        <v>0.26762071992276681</v>
      </c>
      <c r="D23">
        <f t="shared" si="1"/>
        <v>-9.7314687785580167E-3</v>
      </c>
      <c r="E23">
        <f t="shared" si="2"/>
        <v>9.4701484588049457E-5</v>
      </c>
    </row>
    <row r="24" spans="1:5" x14ac:dyDescent="0.25">
      <c r="A24">
        <v>1.7822864796999998</v>
      </c>
      <c r="B24">
        <v>0.22933403994485002</v>
      </c>
      <c r="C24">
        <f t="shared" si="0"/>
        <v>0.22635506479678735</v>
      </c>
      <c r="D24">
        <f t="shared" si="1"/>
        <v>2.9789751480626681E-3</v>
      </c>
      <c r="E24">
        <f t="shared" si="2"/>
        <v>8.8742929327749946E-6</v>
      </c>
    </row>
    <row r="25" spans="1:5" x14ac:dyDescent="0.25">
      <c r="A25">
        <v>1.8527135839</v>
      </c>
      <c r="B25">
        <v>0.2025635294454512</v>
      </c>
      <c r="C25">
        <f t="shared" si="0"/>
        <v>0.18933216498745417</v>
      </c>
      <c r="D25">
        <f t="shared" si="1"/>
        <v>1.3231364457997025E-2</v>
      </c>
      <c r="E25">
        <f t="shared" si="2"/>
        <v>1.750690054203469E-4</v>
      </c>
    </row>
    <row r="26" spans="1:5" x14ac:dyDescent="0.25">
      <c r="A26">
        <v>1.9231406880999999</v>
      </c>
      <c r="B26">
        <v>0.19364002594565158</v>
      </c>
      <c r="C26">
        <f t="shared" si="0"/>
        <v>0.15662535471886788</v>
      </c>
      <c r="D26">
        <f t="shared" si="1"/>
        <v>3.7014671226783702E-2</v>
      </c>
      <c r="E26">
        <f t="shared" si="2"/>
        <v>1.3700858860268893E-3</v>
      </c>
    </row>
    <row r="27" spans="1:5" x14ac:dyDescent="0.25">
      <c r="A27">
        <v>1.9935677922999999</v>
      </c>
      <c r="B27">
        <v>0.16151541334637298</v>
      </c>
      <c r="C27">
        <f t="shared" si="0"/>
        <v>0.12815557863768645</v>
      </c>
      <c r="D27">
        <f t="shared" si="1"/>
        <v>3.3359834708686531E-2</v>
      </c>
      <c r="E27">
        <f t="shared" si="2"/>
        <v>1.1128785717908866E-3</v>
      </c>
    </row>
    <row r="28" spans="1:5" x14ac:dyDescent="0.25">
      <c r="A28">
        <v>2.0639948965000001</v>
      </c>
      <c r="B28">
        <v>0.15169955949659339</v>
      </c>
      <c r="C28">
        <f t="shared" si="0"/>
        <v>0.10372426477354683</v>
      </c>
      <c r="D28">
        <f t="shared" si="1"/>
        <v>4.7975294723046555E-2</v>
      </c>
      <c r="E28">
        <f t="shared" si="2"/>
        <v>2.3016289037631785E-3</v>
      </c>
    </row>
    <row r="29" spans="1:5" x14ac:dyDescent="0.25">
      <c r="A29">
        <v>2.1344220006999999</v>
      </c>
      <c r="B29">
        <v>0.11957494689731479</v>
      </c>
      <c r="C29">
        <f t="shared" si="0"/>
        <v>8.3045521492928862E-2</v>
      </c>
      <c r="D29">
        <f t="shared" si="1"/>
        <v>3.6529425404385932E-2</v>
      </c>
      <c r="E29">
        <f t="shared" si="2"/>
        <v>1.3343989203745963E-3</v>
      </c>
    </row>
    <row r="30" spans="1:5" x14ac:dyDescent="0.25">
      <c r="A30">
        <v>2.2048491049000001</v>
      </c>
      <c r="B30">
        <v>0.10975909304753523</v>
      </c>
      <c r="C30">
        <f t="shared" si="0"/>
        <v>6.5775961700533667E-2</v>
      </c>
      <c r="D30">
        <f t="shared" si="1"/>
        <v>4.3983131347001561E-2</v>
      </c>
      <c r="E30">
        <f t="shared" si="2"/>
        <v>1.9345158430875914E-3</v>
      </c>
    </row>
    <row r="31" spans="1:5" x14ac:dyDescent="0.25">
      <c r="A31">
        <v>2.2752762091000003</v>
      </c>
      <c r="B31">
        <v>9.6373837797835801E-2</v>
      </c>
      <c r="C31">
        <f t="shared" si="0"/>
        <v>5.1540956004798924E-2</v>
      </c>
      <c r="D31">
        <f t="shared" si="1"/>
        <v>4.4832881793036877E-2</v>
      </c>
      <c r="E31">
        <f t="shared" si="2"/>
        <v>2.0099872898684174E-3</v>
      </c>
    </row>
    <row r="32" spans="1:5" x14ac:dyDescent="0.25">
      <c r="A32">
        <v>2.3457033133</v>
      </c>
      <c r="B32">
        <v>7.6742130098276656E-2</v>
      </c>
      <c r="C32">
        <f t="shared" si="0"/>
        <v>3.9956600510561983E-2</v>
      </c>
      <c r="D32">
        <f t="shared" si="1"/>
        <v>3.6785529587714673E-2</v>
      </c>
      <c r="E32">
        <f t="shared" si="2"/>
        <v>1.3531751870486317E-3</v>
      </c>
    </row>
    <row r="33" spans="1:5" x14ac:dyDescent="0.25">
      <c r="A33">
        <v>2.4161304174999998</v>
      </c>
      <c r="B33">
        <v>4.9971619598877824E-2</v>
      </c>
      <c r="C33">
        <f t="shared" si="0"/>
        <v>3.064711793839164E-2</v>
      </c>
      <c r="D33">
        <f t="shared" si="1"/>
        <v>1.9324501660486184E-2</v>
      </c>
      <c r="E33">
        <f t="shared" si="2"/>
        <v>3.7343636442613331E-4</v>
      </c>
    </row>
    <row r="34" spans="1:5" x14ac:dyDescent="0.25">
      <c r="A34">
        <v>2.4865575217</v>
      </c>
      <c r="B34">
        <v>9.8158538497795725E-3</v>
      </c>
      <c r="C34">
        <f t="shared" si="0"/>
        <v>2.3257768716190046E-2</v>
      </c>
      <c r="D34">
        <f t="shared" si="1"/>
        <v>-1.3441914866410474E-2</v>
      </c>
      <c r="E34">
        <f t="shared" si="2"/>
        <v>1.8068507527582689E-4</v>
      </c>
    </row>
    <row r="35" spans="1:5" x14ac:dyDescent="0.25">
      <c r="A35">
        <v>2.5569846258999998</v>
      </c>
      <c r="B35">
        <v>0</v>
      </c>
      <c r="C35">
        <f t="shared" si="0"/>
        <v>1.7463619342272745E-2</v>
      </c>
      <c r="D35">
        <f t="shared" si="1"/>
        <v>-1.7463619342272745E-2</v>
      </c>
      <c r="E35">
        <f t="shared" si="2"/>
        <v>3.049780005318027E-4</v>
      </c>
    </row>
    <row r="36" spans="1:5" x14ac:dyDescent="0.25">
      <c r="A36">
        <v>2.6274117301</v>
      </c>
      <c r="B36">
        <v>0</v>
      </c>
      <c r="C36">
        <f t="shared" si="0"/>
        <v>1.2974697003248858E-2</v>
      </c>
      <c r="D36">
        <f t="shared" si="1"/>
        <v>-1.2974697003248858E-2</v>
      </c>
      <c r="E36">
        <f t="shared" si="2"/>
        <v>1.6834276232611489E-4</v>
      </c>
    </row>
    <row r="37" spans="1:5" x14ac:dyDescent="0.25">
      <c r="A37">
        <v>2.6978388343000002</v>
      </c>
      <c r="B37">
        <v>0</v>
      </c>
      <c r="C37">
        <f t="shared" si="0"/>
        <v>9.5381587524890846E-3</v>
      </c>
      <c r="D37">
        <f t="shared" si="1"/>
        <v>-9.5381587524890846E-3</v>
      </c>
      <c r="E37">
        <f t="shared" si="2"/>
        <v>9.0976472387684136E-5</v>
      </c>
    </row>
    <row r="38" spans="1:5" x14ac:dyDescent="0.25">
      <c r="A38">
        <v>2.7682659384999999</v>
      </c>
      <c r="B38">
        <v>0</v>
      </c>
      <c r="C38">
        <f t="shared" si="0"/>
        <v>6.9381328141121948E-3</v>
      </c>
      <c r="D38">
        <f t="shared" si="1"/>
        <v>-6.9381328141121948E-3</v>
      </c>
      <c r="E38">
        <f t="shared" si="2"/>
        <v>4.8137686946260404E-5</v>
      </c>
    </row>
    <row r="39" spans="1:5" x14ac:dyDescent="0.25">
      <c r="A39">
        <v>2.8386930427000001</v>
      </c>
      <c r="B39">
        <v>0</v>
      </c>
      <c r="C39">
        <f t="shared" si="0"/>
        <v>4.9938641901536495E-3</v>
      </c>
      <c r="D39">
        <f t="shared" si="1"/>
        <v>-4.9938641901536495E-3</v>
      </c>
      <c r="E39">
        <f t="shared" si="2"/>
        <v>2.4938679549698967E-5</v>
      </c>
    </row>
    <row r="40" spans="1:5" x14ac:dyDescent="0.25">
      <c r="A40">
        <v>2.9091201468999999</v>
      </c>
      <c r="B40">
        <v>8.9235034997996122E-4</v>
      </c>
      <c r="C40">
        <f t="shared" si="0"/>
        <v>3.5567329857275312E-3</v>
      </c>
      <c r="D40">
        <f t="shared" si="1"/>
        <v>-2.6643826357475699E-3</v>
      </c>
      <c r="E40">
        <f t="shared" si="2"/>
        <v>7.0989348296731675E-6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A09E-4047-4E4F-B0BF-624F5EC138D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0.18852336454999999</v>
      </c>
      <c r="B1">
        <v>0.10334373714312857</v>
      </c>
      <c r="C1">
        <f>$H$3*(1+$H$1)*(A1^($H$1))*EXP(-$H$3*(A1^(1+$H$1)))</f>
        <v>0.21756700580002575</v>
      </c>
      <c r="D1">
        <f>B1-C1</f>
        <v>-0.11422326865689718</v>
      </c>
      <c r="E1">
        <f>D1^2</f>
        <v>1.304695510266571E-2</v>
      </c>
      <c r="G1" t="s">
        <v>0</v>
      </c>
      <c r="H1">
        <v>1.2190595909845487</v>
      </c>
    </row>
    <row r="2" spans="1:8" x14ac:dyDescent="0.25">
      <c r="A2">
        <v>0.25662880364999996</v>
      </c>
      <c r="B2">
        <v>0.20299662653114539</v>
      </c>
      <c r="C2">
        <f t="shared" ref="C2:C40" si="0">$H$3*(1+$H$1)*(A2^($H$1))*EXP(-$H$3*(A2^(1+$H$1)))</f>
        <v>0.31105485422069473</v>
      </c>
      <c r="D2">
        <f t="shared" ref="D2:D40" si="1">B2-C2</f>
        <v>-0.10805822768954934</v>
      </c>
      <c r="E2">
        <f t="shared" ref="E2:E40" si="2">D2^2</f>
        <v>1.1676580571406489E-2</v>
      </c>
    </row>
    <row r="3" spans="1:8" x14ac:dyDescent="0.25">
      <c r="A3">
        <v>0.32473424274999996</v>
      </c>
      <c r="B3">
        <v>0.33863528153150163</v>
      </c>
      <c r="C3">
        <f t="shared" si="0"/>
        <v>0.40395108025654347</v>
      </c>
      <c r="D3">
        <f t="shared" si="1"/>
        <v>-6.531579872504184E-2</v>
      </c>
      <c r="E3">
        <f t="shared" si="2"/>
        <v>4.2661535630901769E-3</v>
      </c>
      <c r="G3" t="s">
        <v>1</v>
      </c>
      <c r="H3">
        <f>(_xlfn.GAMMA((2+$H$1)/(1+$H$1)))^(1+$H$1)</f>
        <v>0.76379550787409067</v>
      </c>
    </row>
    <row r="4" spans="1:8" x14ac:dyDescent="0.25">
      <c r="A4">
        <v>0.39283968184999996</v>
      </c>
      <c r="B4">
        <v>0.65973903622622254</v>
      </c>
      <c r="C4">
        <f t="shared" si="0"/>
        <v>0.4928951519867833</v>
      </c>
      <c r="D4">
        <f t="shared" si="1"/>
        <v>0.16684388423943924</v>
      </c>
      <c r="E4">
        <f t="shared" si="2"/>
        <v>2.7836881708103403E-2</v>
      </c>
    </row>
    <row r="5" spans="1:8" x14ac:dyDescent="0.25">
      <c r="A5">
        <v>0.46094512094999995</v>
      </c>
      <c r="B5">
        <v>0.64497564520577555</v>
      </c>
      <c r="C5">
        <f t="shared" si="0"/>
        <v>0.5749542960179973</v>
      </c>
      <c r="D5">
        <f t="shared" si="1"/>
        <v>7.0021349187778248E-2</v>
      </c>
      <c r="E5">
        <f t="shared" si="2"/>
        <v>4.9029893420767731E-3</v>
      </c>
      <c r="G5" t="s">
        <v>2</v>
      </c>
      <c r="H5">
        <f>SUM(E1:E40)</f>
        <v>0.38029694372926914</v>
      </c>
    </row>
    <row r="6" spans="1:8" x14ac:dyDescent="0.25">
      <c r="A6">
        <v>0.52905056004999995</v>
      </c>
      <c r="B6">
        <v>0.67911598694055919</v>
      </c>
      <c r="C6">
        <f t="shared" si="0"/>
        <v>0.64761174925049581</v>
      </c>
      <c r="D6">
        <f t="shared" si="1"/>
        <v>3.1504237690063386E-2</v>
      </c>
      <c r="E6">
        <f t="shared" si="2"/>
        <v>9.9251699243201041E-4</v>
      </c>
    </row>
    <row r="7" spans="1:8" x14ac:dyDescent="0.25">
      <c r="A7">
        <v>0.59715599914999995</v>
      </c>
      <c r="B7">
        <v>0.70126107347122957</v>
      </c>
      <c r="C7">
        <f t="shared" si="0"/>
        <v>0.70880948092067997</v>
      </c>
      <c r="D7">
        <f t="shared" si="1"/>
        <v>-7.5484074494504005E-3</v>
      </c>
      <c r="E7">
        <f t="shared" si="2"/>
        <v>5.6978455022918299E-5</v>
      </c>
    </row>
    <row r="8" spans="1:8" x14ac:dyDescent="0.25">
      <c r="A8">
        <v>0.66526143824999995</v>
      </c>
      <c r="B8">
        <v>0.84797227173692102</v>
      </c>
      <c r="C8">
        <f t="shared" si="0"/>
        <v>0.75699968054390443</v>
      </c>
      <c r="D8">
        <f t="shared" si="1"/>
        <v>9.0972591193016594E-2</v>
      </c>
      <c r="E8">
        <f t="shared" si="2"/>
        <v>8.2760123483717196E-3</v>
      </c>
    </row>
    <row r="9" spans="1:8" x14ac:dyDescent="0.25">
      <c r="A9">
        <v>0.73336687734999995</v>
      </c>
      <c r="B9">
        <v>0.91348481939015425</v>
      </c>
      <c r="C9">
        <f t="shared" si="0"/>
        <v>0.79118463853419263</v>
      </c>
      <c r="D9">
        <f t="shared" si="1"/>
        <v>0.12230018085596162</v>
      </c>
      <c r="E9">
        <f t="shared" si="2"/>
        <v>1.4957334237400919E-2</v>
      </c>
    </row>
    <row r="10" spans="1:8" x14ac:dyDescent="0.25">
      <c r="A10">
        <v>0.80147231644999994</v>
      </c>
      <c r="B10">
        <v>1.0555824579619562</v>
      </c>
      <c r="C10">
        <f t="shared" si="0"/>
        <v>0.81093477863015018</v>
      </c>
      <c r="D10">
        <f t="shared" si="1"/>
        <v>0.24464767933180598</v>
      </c>
      <c r="E10">
        <f t="shared" si="2"/>
        <v>5.9852487002438164E-2</v>
      </c>
    </row>
    <row r="11" spans="1:8" x14ac:dyDescent="0.25">
      <c r="A11">
        <v>0.86957775554999994</v>
      </c>
      <c r="B11">
        <v>1.124785853370301</v>
      </c>
      <c r="C11">
        <f t="shared" si="0"/>
        <v>0.81638012628379364</v>
      </c>
      <c r="D11">
        <f t="shared" si="1"/>
        <v>0.30840572708650738</v>
      </c>
      <c r="E11">
        <f t="shared" si="2"/>
        <v>9.5114092499757275E-2</v>
      </c>
    </row>
    <row r="12" spans="1:8" x14ac:dyDescent="0.25">
      <c r="A12">
        <v>0.93768319464999994</v>
      </c>
      <c r="B12">
        <v>0.92824821041060124</v>
      </c>
      <c r="C12">
        <f t="shared" si="0"/>
        <v>0.80817432052990634</v>
      </c>
      <c r="D12">
        <f t="shared" si="1"/>
        <v>0.1200738898806949</v>
      </c>
      <c r="E12">
        <f t="shared" si="2"/>
        <v>1.4417739031081244E-2</v>
      </c>
    </row>
    <row r="13" spans="1:8" x14ac:dyDescent="0.25">
      <c r="A13">
        <v>1.0057886337499999</v>
      </c>
      <c r="B13">
        <v>0.78061430020613187</v>
      </c>
      <c r="C13">
        <f t="shared" si="0"/>
        <v>0.78743324248603674</v>
      </c>
      <c r="D13">
        <f t="shared" si="1"/>
        <v>-6.8189422799048716E-3</v>
      </c>
      <c r="E13">
        <f t="shared" si="2"/>
        <v>4.649797381667425E-5</v>
      </c>
    </row>
    <row r="14" spans="1:8" x14ac:dyDescent="0.25">
      <c r="A14">
        <v>1.0738940728499999</v>
      </c>
      <c r="B14">
        <v>0.70495192122634132</v>
      </c>
      <c r="C14">
        <f t="shared" si="0"/>
        <v>0.7556526430507472</v>
      </c>
      <c r="D14">
        <f t="shared" si="1"/>
        <v>-5.0700721824405881E-2</v>
      </c>
      <c r="E14">
        <f t="shared" si="2"/>
        <v>2.5705631935157868E-3</v>
      </c>
    </row>
    <row r="15" spans="1:8" x14ac:dyDescent="0.25">
      <c r="A15">
        <v>1.1419995119499999</v>
      </c>
      <c r="B15">
        <v>0.54901360357287055</v>
      </c>
      <c r="C15">
        <f t="shared" si="0"/>
        <v>0.71461080548344114</v>
      </c>
      <c r="D15">
        <f t="shared" si="1"/>
        <v>-0.16559720191057059</v>
      </c>
      <c r="E15">
        <f t="shared" si="2"/>
        <v>2.7422433280610285E-2</v>
      </c>
    </row>
    <row r="16" spans="1:8" x14ac:dyDescent="0.25">
      <c r="A16">
        <v>1.2101049510499999</v>
      </c>
      <c r="B16">
        <v>0.52779122898097808</v>
      </c>
      <c r="C16">
        <f t="shared" si="0"/>
        <v>0.66626323590252956</v>
      </c>
      <c r="D16">
        <f t="shared" si="1"/>
        <v>-0.13847200692155148</v>
      </c>
      <c r="E16">
        <f t="shared" si="2"/>
        <v>1.9174496700882202E-2</v>
      </c>
    </row>
    <row r="17" spans="1:5" x14ac:dyDescent="0.25">
      <c r="A17">
        <v>1.2782103901499999</v>
      </c>
      <c r="B17">
        <v>0.46135596938896678</v>
      </c>
      <c r="C17">
        <f t="shared" si="0"/>
        <v>0.61263662401984798</v>
      </c>
      <c r="D17">
        <f t="shared" si="1"/>
        <v>-0.1512806546308812</v>
      </c>
      <c r="E17">
        <f t="shared" si="2"/>
        <v>2.2885836465547958E-2</v>
      </c>
    </row>
    <row r="18" spans="1:5" x14ac:dyDescent="0.25">
      <c r="A18">
        <v>1.3463158292499999</v>
      </c>
      <c r="B18">
        <v>0.47058308877674615</v>
      </c>
      <c r="C18">
        <f t="shared" si="0"/>
        <v>0.55572889824280236</v>
      </c>
      <c r="D18">
        <f t="shared" si="1"/>
        <v>-8.514580946605621E-2</v>
      </c>
      <c r="E18">
        <f t="shared" si="2"/>
        <v>7.249808869629947E-3</v>
      </c>
    </row>
    <row r="19" spans="1:5" x14ac:dyDescent="0.25">
      <c r="A19">
        <v>1.4144212683499999</v>
      </c>
      <c r="B19">
        <v>0.37093019938872929</v>
      </c>
      <c r="C19">
        <f t="shared" si="0"/>
        <v>0.49742121119505811</v>
      </c>
      <c r="D19">
        <f t="shared" si="1"/>
        <v>-0.12649101180632882</v>
      </c>
      <c r="E19">
        <f t="shared" si="2"/>
        <v>1.5999976067788819E-2</v>
      </c>
    </row>
    <row r="20" spans="1:5" x14ac:dyDescent="0.25">
      <c r="A20">
        <v>1.4825267074499999</v>
      </c>
      <c r="B20">
        <v>0.35801223224583822</v>
      </c>
      <c r="C20">
        <f t="shared" si="0"/>
        <v>0.43940627897623297</v>
      </c>
      <c r="D20">
        <f t="shared" si="1"/>
        <v>-8.1394046730394742E-2</v>
      </c>
      <c r="E20">
        <f t="shared" si="2"/>
        <v>6.6249908431496828E-3</v>
      </c>
    </row>
    <row r="21" spans="1:5" x14ac:dyDescent="0.25">
      <c r="A21">
        <v>1.5506321465499999</v>
      </c>
      <c r="B21">
        <v>0.30910849949060776</v>
      </c>
      <c r="C21">
        <f t="shared" si="0"/>
        <v>0.38313583558122738</v>
      </c>
      <c r="D21">
        <f t="shared" si="1"/>
        <v>-7.4027336090619622E-2</v>
      </c>
      <c r="E21">
        <f t="shared" si="2"/>
        <v>5.4800464886735544E-3</v>
      </c>
    </row>
    <row r="22" spans="1:5" x14ac:dyDescent="0.25">
      <c r="A22">
        <v>1.6187375856499999</v>
      </c>
      <c r="B22">
        <v>0.29526782040893873</v>
      </c>
      <c r="C22">
        <f t="shared" si="0"/>
        <v>0.32978823726369072</v>
      </c>
      <c r="D22">
        <f t="shared" si="1"/>
        <v>-3.452041685475199E-2</v>
      </c>
      <c r="E22">
        <f t="shared" si="2"/>
        <v>1.1916591798258453E-3</v>
      </c>
    </row>
    <row r="23" spans="1:5" x14ac:dyDescent="0.25">
      <c r="A23">
        <v>1.6868430247499999</v>
      </c>
      <c r="B23">
        <v>0.27220002193949039</v>
      </c>
      <c r="C23">
        <f t="shared" si="0"/>
        <v>0.28025563233090628</v>
      </c>
      <c r="D23">
        <f t="shared" si="1"/>
        <v>-8.0556103914158905E-3</v>
      </c>
      <c r="E23">
        <f t="shared" si="2"/>
        <v>6.4892858778287674E-5</v>
      </c>
    </row>
    <row r="24" spans="1:5" x14ac:dyDescent="0.25">
      <c r="A24">
        <v>1.7549484638499999</v>
      </c>
      <c r="B24">
        <v>0.22975527275570548</v>
      </c>
      <c r="C24">
        <f t="shared" si="0"/>
        <v>0.23514874148115861</v>
      </c>
      <c r="D24">
        <f t="shared" si="1"/>
        <v>-5.3934687254531266E-3</v>
      </c>
      <c r="E24">
        <f t="shared" si="2"/>
        <v>2.9089504892440975E-5</v>
      </c>
    </row>
    <row r="25" spans="1:5" x14ac:dyDescent="0.25">
      <c r="A25">
        <v>1.8230539029499999</v>
      </c>
      <c r="B25">
        <v>0.20299662653114539</v>
      </c>
      <c r="C25">
        <f t="shared" si="0"/>
        <v>0.19481627078167485</v>
      </c>
      <c r="D25">
        <f t="shared" si="1"/>
        <v>8.1803557494705414E-3</v>
      </c>
      <c r="E25">
        <f t="shared" si="2"/>
        <v>6.6918220187895747E-5</v>
      </c>
    </row>
    <row r="26" spans="1:5" x14ac:dyDescent="0.25">
      <c r="A26">
        <v>1.8911593420499999</v>
      </c>
      <c r="B26">
        <v>0.20484205040870127</v>
      </c>
      <c r="C26">
        <f t="shared" si="0"/>
        <v>0.1593753530974687</v>
      </c>
      <c r="D26">
        <f t="shared" si="1"/>
        <v>4.5466697311232568E-2</v>
      </c>
      <c r="E26">
        <f t="shared" si="2"/>
        <v>2.0672205643912428E-3</v>
      </c>
    </row>
    <row r="27" spans="1:5" x14ac:dyDescent="0.25">
      <c r="A27">
        <v>1.9592647811499999</v>
      </c>
      <c r="B27">
        <v>0.18454238775558673</v>
      </c>
      <c r="C27">
        <f t="shared" si="0"/>
        <v>0.12874918534268887</v>
      </c>
      <c r="D27">
        <f t="shared" si="1"/>
        <v>5.5793202412897869E-2</v>
      </c>
      <c r="E27">
        <f t="shared" si="2"/>
        <v>3.1128814354865926E-3</v>
      </c>
    </row>
    <row r="28" spans="1:5" x14ac:dyDescent="0.25">
      <c r="A28">
        <v>2.0273702202499999</v>
      </c>
      <c r="B28">
        <v>0.12272068785746516</v>
      </c>
      <c r="C28">
        <f t="shared" si="0"/>
        <v>0.1027081579124394</v>
      </c>
      <c r="D28">
        <f t="shared" si="1"/>
        <v>2.0012529945025767E-2</v>
      </c>
      <c r="E28">
        <f t="shared" si="2"/>
        <v>4.0050135480055303E-4</v>
      </c>
    </row>
    <row r="29" spans="1:5" x14ac:dyDescent="0.25">
      <c r="A29">
        <v>2.0954756593499999</v>
      </c>
      <c r="B29">
        <v>0.13748407887791211</v>
      </c>
      <c r="C29">
        <f t="shared" si="0"/>
        <v>8.0911187959043548E-2</v>
      </c>
      <c r="D29">
        <f t="shared" si="1"/>
        <v>5.6572890918868565E-2</v>
      </c>
      <c r="E29">
        <f t="shared" si="2"/>
        <v>3.2004919869182014E-3</v>
      </c>
    </row>
    <row r="30" spans="1:5" x14ac:dyDescent="0.25">
      <c r="A30">
        <v>2.1635810984499999</v>
      </c>
      <c r="B30">
        <v>0.1236433997962431</v>
      </c>
      <c r="C30">
        <f t="shared" si="0"/>
        <v>6.2944581007059672E-2</v>
      </c>
      <c r="D30">
        <f t="shared" si="1"/>
        <v>6.0698818789183429E-2</v>
      </c>
      <c r="E30">
        <f t="shared" si="2"/>
        <v>3.6843466024021271E-3</v>
      </c>
    </row>
    <row r="31" spans="1:5" x14ac:dyDescent="0.25">
      <c r="A31">
        <v>2.2316865375499999</v>
      </c>
      <c r="B31">
        <v>6.4589835714455354E-2</v>
      </c>
      <c r="C31">
        <f t="shared" si="0"/>
        <v>4.8356462328933807E-2</v>
      </c>
      <c r="D31">
        <f t="shared" si="1"/>
        <v>1.6233373385521548E-2</v>
      </c>
      <c r="E31">
        <f t="shared" si="2"/>
        <v>2.6352241147375934E-4</v>
      </c>
    </row>
    <row r="32" spans="1:5" x14ac:dyDescent="0.25">
      <c r="A32">
        <v>2.2997919766499999</v>
      </c>
      <c r="B32">
        <v>8.6734922245125759E-2</v>
      </c>
      <c r="C32">
        <f t="shared" si="0"/>
        <v>3.6685553847402325E-2</v>
      </c>
      <c r="D32">
        <f t="shared" si="1"/>
        <v>5.0049368397723434E-2</v>
      </c>
      <c r="E32">
        <f t="shared" si="2"/>
        <v>2.5049392770110372E-3</v>
      </c>
    </row>
    <row r="33" spans="1:5" x14ac:dyDescent="0.25">
      <c r="A33">
        <v>2.3678974157499999</v>
      </c>
      <c r="B33">
        <v>2.4913222347004209E-2</v>
      </c>
      <c r="C33">
        <f t="shared" si="0"/>
        <v>2.7483752639009314E-2</v>
      </c>
      <c r="D33">
        <f t="shared" si="1"/>
        <v>-2.5705302920051055E-3</v>
      </c>
      <c r="E33">
        <f t="shared" si="2"/>
        <v>6.6076259821158534E-6</v>
      </c>
    </row>
    <row r="34" spans="1:5" x14ac:dyDescent="0.25">
      <c r="A34">
        <v>2.4360028548499999</v>
      </c>
      <c r="B34">
        <v>0</v>
      </c>
      <c r="C34">
        <f t="shared" si="0"/>
        <v>2.0332542156679033E-2</v>
      </c>
      <c r="D34">
        <f t="shared" si="1"/>
        <v>-2.0332542156679033E-2</v>
      </c>
      <c r="E34">
        <f t="shared" si="2"/>
        <v>4.1341227055313008E-4</v>
      </c>
    </row>
    <row r="35" spans="1:5" x14ac:dyDescent="0.25">
      <c r="A35">
        <v>2.5041082939499999</v>
      </c>
      <c r="B35">
        <v>0</v>
      </c>
      <c r="C35">
        <f t="shared" si="0"/>
        <v>1.4853707589340685E-2</v>
      </c>
      <c r="D35">
        <f t="shared" si="1"/>
        <v>-1.4853707589340685E-2</v>
      </c>
      <c r="E35">
        <f t="shared" si="2"/>
        <v>2.2063262914963705E-4</v>
      </c>
    </row>
    <row r="36" spans="1:5" x14ac:dyDescent="0.25">
      <c r="A36">
        <v>2.5722137330499999</v>
      </c>
      <c r="B36">
        <v>0</v>
      </c>
      <c r="C36">
        <f t="shared" si="0"/>
        <v>1.0715123164643361E-2</v>
      </c>
      <c r="D36">
        <f t="shared" si="1"/>
        <v>-1.0715123164643361E-2</v>
      </c>
      <c r="E36">
        <f t="shared" si="2"/>
        <v>1.1481386443347677E-4</v>
      </c>
    </row>
    <row r="37" spans="1:5" x14ac:dyDescent="0.25">
      <c r="A37">
        <v>2.6403191721499999</v>
      </c>
      <c r="B37">
        <v>0</v>
      </c>
      <c r="C37">
        <f t="shared" si="0"/>
        <v>7.6325392333298197E-3</v>
      </c>
      <c r="D37">
        <f t="shared" si="1"/>
        <v>-7.6325392333298197E-3</v>
      </c>
      <c r="E37">
        <f t="shared" si="2"/>
        <v>5.8255655148318954E-5</v>
      </c>
    </row>
    <row r="38" spans="1:5" x14ac:dyDescent="0.25">
      <c r="A38">
        <v>2.7084246112499999</v>
      </c>
      <c r="B38">
        <v>0</v>
      </c>
      <c r="C38">
        <f t="shared" si="0"/>
        <v>5.3683401469507962E-3</v>
      </c>
      <c r="D38">
        <f t="shared" si="1"/>
        <v>-5.3683401469507962E-3</v>
      </c>
      <c r="E38">
        <f t="shared" si="2"/>
        <v>2.8819075933363695E-5</v>
      </c>
    </row>
    <row r="39" spans="1:5" x14ac:dyDescent="0.25">
      <c r="A39">
        <v>2.7765300503499999</v>
      </c>
      <c r="B39">
        <v>0</v>
      </c>
      <c r="C39">
        <f t="shared" si="0"/>
        <v>3.7281966065166967E-3</v>
      </c>
      <c r="D39">
        <f t="shared" si="1"/>
        <v>-3.7281966065166967E-3</v>
      </c>
      <c r="E39">
        <f t="shared" si="2"/>
        <v>1.3899449936842612E-5</v>
      </c>
    </row>
    <row r="40" spans="1:5" x14ac:dyDescent="0.25">
      <c r="A40">
        <v>2.8446354894499999</v>
      </c>
      <c r="B40">
        <v>9.2271193877793364E-4</v>
      </c>
      <c r="C40">
        <f t="shared" si="0"/>
        <v>2.5564268779726318E-3</v>
      </c>
      <c r="D40">
        <f t="shared" si="1"/>
        <v>-1.6337149391946982E-3</v>
      </c>
      <c r="E40">
        <f t="shared" si="2"/>
        <v>2.6690245025479366E-6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A176-CC27-4F27-8198-3844E387136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0.2173728801625</v>
      </c>
      <c r="B1">
        <v>0.10128572127690944</v>
      </c>
      <c r="C1">
        <f>$H$3*(1+$H$1)*(A1^($H$1))*EXP(-$H$3*(A1^(1+$H$1)))</f>
        <v>0.21842748276606469</v>
      </c>
      <c r="D1">
        <f>B1-C1</f>
        <v>-0.11714176148915525</v>
      </c>
      <c r="E1">
        <f>D1^2</f>
        <v>1.3722192284782136E-2</v>
      </c>
      <c r="G1" t="s">
        <v>0</v>
      </c>
      <c r="H1">
        <v>1.359021159686475</v>
      </c>
    </row>
    <row r="2" spans="1:8" x14ac:dyDescent="0.25">
      <c r="A2">
        <v>0.28313950848750002</v>
      </c>
      <c r="B2">
        <v>0.19492723717442947</v>
      </c>
      <c r="C2">
        <f t="shared" ref="C2:C40" si="0">$H$3*(1+$H$1)*(A2^($H$1))*EXP(-$H$3*(A2^(1+$H$1)))</f>
        <v>0.30732188457235848</v>
      </c>
      <c r="D2">
        <f t="shared" ref="D2:D40" si="1">B2-C2</f>
        <v>-0.11239464739792901</v>
      </c>
      <c r="E2">
        <f t="shared" ref="E2:E40" si="2">D2^2</f>
        <v>1.263255676370479E-2</v>
      </c>
    </row>
    <row r="3" spans="1:8" x14ac:dyDescent="0.25">
      <c r="A3">
        <v>0.34890613681249999</v>
      </c>
      <c r="B3">
        <v>0.32965635698616752</v>
      </c>
      <c r="C3">
        <f t="shared" si="0"/>
        <v>0.39835370469057513</v>
      </c>
      <c r="D3">
        <f t="shared" si="1"/>
        <v>-6.8697347704407608E-2</v>
      </c>
      <c r="E3">
        <f t="shared" si="2"/>
        <v>4.719325581620277E-3</v>
      </c>
      <c r="G3" t="s">
        <v>1</v>
      </c>
      <c r="H3">
        <f>(_xlfn.GAMMA((2+$H$1)/(1+$H$1)))^(1+$H$1)</f>
        <v>0.75205552692796895</v>
      </c>
    </row>
    <row r="4" spans="1:8" x14ac:dyDescent="0.25">
      <c r="A4">
        <v>0.41467276513749995</v>
      </c>
      <c r="B4">
        <v>0.63064694379962483</v>
      </c>
      <c r="C4">
        <f t="shared" si="0"/>
        <v>0.48808015264672688</v>
      </c>
      <c r="D4">
        <f t="shared" si="1"/>
        <v>0.14256679115289794</v>
      </c>
      <c r="E4">
        <f t="shared" si="2"/>
        <v>2.032528993963402E-2</v>
      </c>
    </row>
    <row r="5" spans="1:8" x14ac:dyDescent="0.25">
      <c r="A5">
        <v>0.48043939346249998</v>
      </c>
      <c r="B5">
        <v>0.66791244502414804</v>
      </c>
      <c r="C5">
        <f t="shared" si="0"/>
        <v>0.57329384491174529</v>
      </c>
      <c r="D5">
        <f t="shared" si="1"/>
        <v>9.4618600112402751E-2</v>
      </c>
      <c r="E5">
        <f t="shared" si="2"/>
        <v>8.9526794872307816E-3</v>
      </c>
      <c r="G5" t="s">
        <v>2</v>
      </c>
      <c r="H5">
        <f>SUM(E1:E40)</f>
        <v>0.3872648883630142</v>
      </c>
    </row>
    <row r="6" spans="1:8" x14ac:dyDescent="0.25">
      <c r="A6">
        <v>0.5462060217875</v>
      </c>
      <c r="B6">
        <v>0.74435449881804194</v>
      </c>
      <c r="C6">
        <f t="shared" si="0"/>
        <v>0.65105697288924025</v>
      </c>
      <c r="D6">
        <f t="shared" si="1"/>
        <v>9.3297525928801694E-2</v>
      </c>
      <c r="E6">
        <f t="shared" si="2"/>
        <v>8.7044283444354248E-3</v>
      </c>
    </row>
    <row r="7" spans="1:8" x14ac:dyDescent="0.25">
      <c r="A7">
        <v>0.61197265011250002</v>
      </c>
      <c r="B7">
        <v>0.73002161373168684</v>
      </c>
      <c r="C7">
        <f t="shared" si="0"/>
        <v>0.71878209577793062</v>
      </c>
      <c r="D7">
        <f t="shared" si="1"/>
        <v>1.1239517953756217E-2</v>
      </c>
      <c r="E7">
        <f t="shared" si="2"/>
        <v>1.2632676383280835E-4</v>
      </c>
    </row>
    <row r="8" spans="1:8" x14ac:dyDescent="0.25">
      <c r="A8">
        <v>0.67773927843749993</v>
      </c>
      <c r="B8">
        <v>0.86188415652615391</v>
      </c>
      <c r="C8">
        <f t="shared" si="0"/>
        <v>0.77432500445908903</v>
      </c>
      <c r="D8">
        <f t="shared" si="1"/>
        <v>8.7559152067064883E-2</v>
      </c>
      <c r="E8">
        <f t="shared" si="2"/>
        <v>7.6666051107033926E-3</v>
      </c>
    </row>
    <row r="9" spans="1:8" x14ac:dyDescent="0.25">
      <c r="A9">
        <v>0.74350590676249995</v>
      </c>
      <c r="B9">
        <v>0.88768334968159313</v>
      </c>
      <c r="C9">
        <f t="shared" si="0"/>
        <v>0.81606977756204235</v>
      </c>
      <c r="D9">
        <f t="shared" si="1"/>
        <v>7.1613572119550772E-2</v>
      </c>
      <c r="E9">
        <f t="shared" si="2"/>
        <v>5.1285037117221001E-3</v>
      </c>
    </row>
    <row r="10" spans="1:8" x14ac:dyDescent="0.25">
      <c r="A10">
        <v>0.80927253508749997</v>
      </c>
      <c r="B10">
        <v>1.0271900978554496</v>
      </c>
      <c r="C10">
        <f t="shared" si="0"/>
        <v>0.84299290048446374</v>
      </c>
      <c r="D10">
        <f t="shared" si="1"/>
        <v>0.18419719737098583</v>
      </c>
      <c r="E10">
        <f t="shared" si="2"/>
        <v>3.3928607519325908E-2</v>
      </c>
    </row>
    <row r="11" spans="1:8" x14ac:dyDescent="0.25">
      <c r="A11">
        <v>0.8750391634125001</v>
      </c>
      <c r="B11">
        <v>1.1781631540983899</v>
      </c>
      <c r="C11">
        <f t="shared" si="0"/>
        <v>0.85469776571348255</v>
      </c>
      <c r="D11">
        <f t="shared" si="1"/>
        <v>0.32346538838490735</v>
      </c>
      <c r="E11">
        <f t="shared" si="2"/>
        <v>0.10462985748299895</v>
      </c>
    </row>
    <row r="12" spans="1:8" x14ac:dyDescent="0.25">
      <c r="A12">
        <v>0.94080579173750001</v>
      </c>
      <c r="B12">
        <v>1.0243235208381785</v>
      </c>
      <c r="C12">
        <f t="shared" si="0"/>
        <v>0.85141470718536749</v>
      </c>
      <c r="D12">
        <f t="shared" si="1"/>
        <v>0.17290881365281097</v>
      </c>
      <c r="E12">
        <f t="shared" si="2"/>
        <v>2.9897457838822507E-2</v>
      </c>
    </row>
    <row r="13" spans="1:8" x14ac:dyDescent="0.25">
      <c r="A13">
        <v>1.0065724200624999</v>
      </c>
      <c r="B13">
        <v>0.85901757950888291</v>
      </c>
      <c r="C13">
        <f t="shared" si="0"/>
        <v>0.83396538153345234</v>
      </c>
      <c r="D13">
        <f t="shared" si="1"/>
        <v>2.5052197975430568E-2</v>
      </c>
      <c r="E13">
        <f t="shared" si="2"/>
        <v>6.2761262340016747E-4</v>
      </c>
    </row>
    <row r="14" spans="1:8" x14ac:dyDescent="0.25">
      <c r="A14">
        <v>1.0723390483874997</v>
      </c>
      <c r="B14">
        <v>0.76155396092166816</v>
      </c>
      <c r="C14">
        <f t="shared" si="0"/>
        <v>0.80369376819562388</v>
      </c>
      <c r="D14">
        <f t="shared" si="1"/>
        <v>-4.2139807273955721E-2</v>
      </c>
      <c r="E14">
        <f t="shared" si="2"/>
        <v>1.7757633570861314E-3</v>
      </c>
    </row>
    <row r="15" spans="1:8" x14ac:dyDescent="0.25">
      <c r="A15">
        <v>1.1381056767124997</v>
      </c>
      <c r="B15">
        <v>0.6325579951444722</v>
      </c>
      <c r="C15">
        <f t="shared" si="0"/>
        <v>0.7623691143254</v>
      </c>
      <c r="D15">
        <f t="shared" si="1"/>
        <v>-0.1298111191809278</v>
      </c>
      <c r="E15">
        <f t="shared" si="2"/>
        <v>1.6850926663005042E-2</v>
      </c>
    </row>
    <row r="16" spans="1:8" x14ac:dyDescent="0.25">
      <c r="A16">
        <v>1.2038723050374998</v>
      </c>
      <c r="B16">
        <v>0.56184909538512029</v>
      </c>
      <c r="C16">
        <f t="shared" si="0"/>
        <v>0.71206855351749176</v>
      </c>
      <c r="D16">
        <f t="shared" si="1"/>
        <v>-0.15021945813237148</v>
      </c>
      <c r="E16">
        <f t="shared" si="2"/>
        <v>2.2565885601583305E-2</v>
      </c>
    </row>
    <row r="17" spans="1:5" x14ac:dyDescent="0.25">
      <c r="A17">
        <v>1.2696389333624998</v>
      </c>
      <c r="B17">
        <v>0.4844515159188027</v>
      </c>
      <c r="C17">
        <f t="shared" si="0"/>
        <v>0.65504867082729223</v>
      </c>
      <c r="D17">
        <f t="shared" si="1"/>
        <v>-0.17059715490848953</v>
      </c>
      <c r="E17">
        <f t="shared" si="2"/>
        <v>2.9103389262871177E-2</v>
      </c>
    </row>
    <row r="18" spans="1:5" x14ac:dyDescent="0.25">
      <c r="A18">
        <v>1.3354055616874998</v>
      </c>
      <c r="B18">
        <v>0.48636256726365001</v>
      </c>
      <c r="C18">
        <f t="shared" si="0"/>
        <v>0.59361584723732574</v>
      </c>
      <c r="D18">
        <f t="shared" si="1"/>
        <v>-0.10725327997367573</v>
      </c>
      <c r="E18">
        <f t="shared" si="2"/>
        <v>1.1503266065111671E-2</v>
      </c>
    </row>
    <row r="19" spans="1:5" x14ac:dyDescent="0.25">
      <c r="A19">
        <v>1.4011721900124998</v>
      </c>
      <c r="B19">
        <v>0.40418735943521406</v>
      </c>
      <c r="C19">
        <f t="shared" si="0"/>
        <v>0.53000478208656054</v>
      </c>
      <c r="D19">
        <f t="shared" si="1"/>
        <v>-0.12581742265134649</v>
      </c>
      <c r="E19">
        <f t="shared" si="2"/>
        <v>1.5830023842627557E-2</v>
      </c>
    </row>
    <row r="20" spans="1:5" x14ac:dyDescent="0.25">
      <c r="A20">
        <v>1.4669388183374998</v>
      </c>
      <c r="B20">
        <v>0.36883290955553816</v>
      </c>
      <c r="C20">
        <f t="shared" si="0"/>
        <v>0.46627326413660736</v>
      </c>
      <c r="D20">
        <f t="shared" si="1"/>
        <v>-9.74403545810692E-2</v>
      </c>
      <c r="E20">
        <f t="shared" si="2"/>
        <v>9.494622700884494E-3</v>
      </c>
    </row>
    <row r="21" spans="1:5" x14ac:dyDescent="0.25">
      <c r="A21">
        <v>1.5327054466624999</v>
      </c>
      <c r="B21">
        <v>0.30576821517557567</v>
      </c>
      <c r="C21">
        <f t="shared" si="0"/>
        <v>0.4042192425150728</v>
      </c>
      <c r="D21">
        <f t="shared" si="1"/>
        <v>-9.8451027339497121E-2</v>
      </c>
      <c r="E21">
        <f t="shared" si="2"/>
        <v>9.6926047842024101E-3</v>
      </c>
    </row>
    <row r="22" spans="1:5" x14ac:dyDescent="0.25">
      <c r="A22">
        <v>1.5984720749875001</v>
      </c>
      <c r="B22">
        <v>0.34972239610706468</v>
      </c>
      <c r="C22">
        <f t="shared" si="0"/>
        <v>0.34532380870826868</v>
      </c>
      <c r="D22">
        <f t="shared" si="1"/>
        <v>4.3985873987960056E-3</v>
      </c>
      <c r="E22">
        <f t="shared" si="2"/>
        <v>1.934757110484701E-5</v>
      </c>
    </row>
    <row r="23" spans="1:5" x14ac:dyDescent="0.25">
      <c r="A23">
        <v>1.6642387033124999</v>
      </c>
      <c r="B23">
        <v>0.2599029828992393</v>
      </c>
      <c r="C23">
        <f t="shared" si="0"/>
        <v>0.29072114102845364</v>
      </c>
      <c r="D23">
        <f t="shared" si="1"/>
        <v>-3.0818158129214346E-2</v>
      </c>
      <c r="E23">
        <f t="shared" si="2"/>
        <v>9.4975887047726024E-4</v>
      </c>
    </row>
    <row r="24" spans="1:5" x14ac:dyDescent="0.25">
      <c r="A24">
        <v>1.7300053316374999</v>
      </c>
      <c r="B24">
        <v>0.23028168705410543</v>
      </c>
      <c r="C24">
        <f t="shared" si="0"/>
        <v>0.24119407290151601</v>
      </c>
      <c r="D24">
        <f t="shared" si="1"/>
        <v>-1.0912385847410583E-2</v>
      </c>
      <c r="E24">
        <f t="shared" si="2"/>
        <v>1.1908016488276679E-4</v>
      </c>
    </row>
    <row r="25" spans="1:5" x14ac:dyDescent="0.25">
      <c r="A25">
        <v>1.7957719599624999</v>
      </c>
      <c r="B25">
        <v>0.21881537898502132</v>
      </c>
      <c r="C25">
        <f t="shared" si="0"/>
        <v>0.19719196660659477</v>
      </c>
      <c r="D25">
        <f t="shared" si="1"/>
        <v>2.1623412378426549E-2</v>
      </c>
      <c r="E25">
        <f t="shared" si="2"/>
        <v>4.6757196288749051E-4</v>
      </c>
    </row>
    <row r="26" spans="1:5" x14ac:dyDescent="0.25">
      <c r="A26">
        <v>1.8615385882875</v>
      </c>
      <c r="B26">
        <v>0.23410378974380011</v>
      </c>
      <c r="C26">
        <f t="shared" si="0"/>
        <v>0.1588661698716356</v>
      </c>
      <c r="D26">
        <f t="shared" si="1"/>
        <v>7.5237619872164513E-2</v>
      </c>
      <c r="E26">
        <f t="shared" si="2"/>
        <v>5.6606994440283245E-3</v>
      </c>
    </row>
    <row r="27" spans="1:5" x14ac:dyDescent="0.25">
      <c r="A27">
        <v>1.9273052166125</v>
      </c>
      <c r="B27">
        <v>0.15192858191536415</v>
      </c>
      <c r="C27">
        <f t="shared" si="0"/>
        <v>0.12611758010634255</v>
      </c>
      <c r="D27">
        <f t="shared" si="1"/>
        <v>2.58110018090216E-2</v>
      </c>
      <c r="E27">
        <f t="shared" si="2"/>
        <v>6.6620781438531628E-4</v>
      </c>
    </row>
    <row r="28" spans="1:5" x14ac:dyDescent="0.25">
      <c r="A28">
        <v>1.9930718449374998</v>
      </c>
      <c r="B28">
        <v>0.13759569682900905</v>
      </c>
      <c r="C28">
        <f t="shared" si="0"/>
        <v>9.865072799679668E-2</v>
      </c>
      <c r="D28">
        <f t="shared" si="1"/>
        <v>3.8944968832212365E-2</v>
      </c>
      <c r="E28">
        <f t="shared" si="2"/>
        <v>1.5167105973419926E-3</v>
      </c>
    </row>
    <row r="29" spans="1:5" x14ac:dyDescent="0.25">
      <c r="A29">
        <v>2.0588384732625</v>
      </c>
      <c r="B29">
        <v>0.15001753057051681</v>
      </c>
      <c r="C29">
        <f t="shared" si="0"/>
        <v>7.6029231900630934E-2</v>
      </c>
      <c r="D29">
        <f t="shared" si="1"/>
        <v>7.3988298669885877E-2</v>
      </c>
      <c r="E29">
        <f t="shared" si="2"/>
        <v>5.4742683400642363E-3</v>
      </c>
    </row>
    <row r="30" spans="1:5" x14ac:dyDescent="0.25">
      <c r="A30">
        <v>2.1246051015875</v>
      </c>
      <c r="B30">
        <v>9.2685990225096368E-2</v>
      </c>
      <c r="C30">
        <f t="shared" si="0"/>
        <v>5.7728327736238531E-2</v>
      </c>
      <c r="D30">
        <f t="shared" si="1"/>
        <v>3.4957662488857837E-2</v>
      </c>
      <c r="E30">
        <f t="shared" si="2"/>
        <v>1.2220381666848982E-3</v>
      </c>
    </row>
    <row r="31" spans="1:5" x14ac:dyDescent="0.25">
      <c r="A31">
        <v>2.1903717299124996</v>
      </c>
      <c r="B31">
        <v>8.6952836190554328E-2</v>
      </c>
      <c r="C31">
        <f t="shared" si="0"/>
        <v>4.3181280725393865E-2</v>
      </c>
      <c r="D31">
        <f t="shared" si="1"/>
        <v>4.3771555465160462E-2</v>
      </c>
      <c r="E31">
        <f t="shared" si="2"/>
        <v>1.9159490678396188E-3</v>
      </c>
    </row>
    <row r="32" spans="1:5" x14ac:dyDescent="0.25">
      <c r="A32">
        <v>2.2561383582374996</v>
      </c>
      <c r="B32">
        <v>4.9687334966031046E-2</v>
      </c>
      <c r="C32">
        <f t="shared" si="0"/>
        <v>3.1817670417886121E-2</v>
      </c>
      <c r="D32">
        <f t="shared" si="1"/>
        <v>1.7869664548144926E-2</v>
      </c>
      <c r="E32">
        <f t="shared" si="2"/>
        <v>3.1932491106322758E-4</v>
      </c>
    </row>
    <row r="33" spans="1:5" x14ac:dyDescent="0.25">
      <c r="A33">
        <v>2.3219049865624997</v>
      </c>
      <c r="B33">
        <v>0</v>
      </c>
      <c r="C33">
        <f t="shared" si="0"/>
        <v>2.3092665558109522E-2</v>
      </c>
      <c r="D33">
        <f t="shared" si="1"/>
        <v>-2.3092665558109522E-2</v>
      </c>
      <c r="E33">
        <f t="shared" si="2"/>
        <v>5.3327120257869772E-4</v>
      </c>
    </row>
    <row r="34" spans="1:5" x14ac:dyDescent="0.25">
      <c r="A34">
        <v>2.3876716148874997</v>
      </c>
      <c r="B34">
        <v>0</v>
      </c>
      <c r="C34">
        <f t="shared" si="0"/>
        <v>1.6507363388172821E-2</v>
      </c>
      <c r="D34">
        <f t="shared" si="1"/>
        <v>-1.6507363388172821E-2</v>
      </c>
      <c r="E34">
        <f t="shared" si="2"/>
        <v>2.724930460291885E-4</v>
      </c>
    </row>
    <row r="35" spans="1:5" x14ac:dyDescent="0.25">
      <c r="A35">
        <v>2.4534382432124997</v>
      </c>
      <c r="B35">
        <v>0</v>
      </c>
      <c r="C35">
        <f t="shared" si="0"/>
        <v>1.1620994487363355E-2</v>
      </c>
      <c r="D35">
        <f t="shared" si="1"/>
        <v>-1.1620994487363355E-2</v>
      </c>
      <c r="E35">
        <f t="shared" si="2"/>
        <v>1.3504751287532948E-4</v>
      </c>
    </row>
    <row r="36" spans="1:5" x14ac:dyDescent="0.25">
      <c r="A36">
        <v>2.5192048715374997</v>
      </c>
      <c r="B36">
        <v>0</v>
      </c>
      <c r="C36">
        <f t="shared" si="0"/>
        <v>8.0562666493264427E-3</v>
      </c>
      <c r="D36">
        <f t="shared" si="1"/>
        <v>-8.0562666493264427E-3</v>
      </c>
      <c r="E36">
        <f t="shared" si="2"/>
        <v>6.490343232504951E-5</v>
      </c>
    </row>
    <row r="37" spans="1:5" x14ac:dyDescent="0.25">
      <c r="A37">
        <v>2.5849714998624997</v>
      </c>
      <c r="B37">
        <v>0</v>
      </c>
      <c r="C37">
        <f t="shared" si="0"/>
        <v>5.4993522772975893E-3</v>
      </c>
      <c r="D37">
        <f t="shared" si="1"/>
        <v>-5.4993522772975893E-3</v>
      </c>
      <c r="E37">
        <f t="shared" si="2"/>
        <v>3.0242875469818181E-5</v>
      </c>
    </row>
    <row r="38" spans="1:5" x14ac:dyDescent="0.25">
      <c r="A38">
        <v>2.6507381281874998</v>
      </c>
      <c r="B38">
        <v>0</v>
      </c>
      <c r="C38">
        <f t="shared" si="0"/>
        <v>3.6960512066164133E-3</v>
      </c>
      <c r="D38">
        <f t="shared" si="1"/>
        <v>-3.6960512066164133E-3</v>
      </c>
      <c r="E38">
        <f t="shared" si="2"/>
        <v>1.3660794521930645E-5</v>
      </c>
    </row>
    <row r="39" spans="1:5" x14ac:dyDescent="0.25">
      <c r="A39">
        <v>2.7165047565124998</v>
      </c>
      <c r="B39">
        <v>0</v>
      </c>
      <c r="C39">
        <f t="shared" si="0"/>
        <v>2.4455366194948928E-3</v>
      </c>
      <c r="D39">
        <f t="shared" si="1"/>
        <v>-2.4455366194948928E-3</v>
      </c>
      <c r="E39">
        <f t="shared" si="2"/>
        <v>5.9806493572905079E-6</v>
      </c>
    </row>
    <row r="40" spans="1:5" x14ac:dyDescent="0.25">
      <c r="A40">
        <v>2.7822713848374998</v>
      </c>
      <c r="B40">
        <v>9.5552567242367396E-4</v>
      </c>
      <c r="C40">
        <f t="shared" si="0"/>
        <v>1.5928713493211137E-3</v>
      </c>
      <c r="D40">
        <f t="shared" si="1"/>
        <v>-6.3734567689743978E-4</v>
      </c>
      <c r="E40">
        <f t="shared" si="2"/>
        <v>4.0620951185985571E-7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C8DB-7C17-4DC9-85AE-3ECE897F431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0.24919851165000001</v>
      </c>
      <c r="B1">
        <v>0.10021339155379384</v>
      </c>
      <c r="C1">
        <f>$H$3*(1+$H$1)*(A1^($H$1))*EXP(-$H$3*(A1^(1+$H$1)))</f>
        <v>0.22159773949262998</v>
      </c>
      <c r="D1">
        <f>B1-C1</f>
        <v>-0.12138434793883614</v>
      </c>
      <c r="E1">
        <f>D1^2</f>
        <v>1.4734159924536434E-2</v>
      </c>
      <c r="G1" t="s">
        <v>0</v>
      </c>
      <c r="H1">
        <v>1.5160744768315555</v>
      </c>
    </row>
    <row r="2" spans="1:8" x14ac:dyDescent="0.25">
      <c r="A2">
        <v>0.31253347895</v>
      </c>
      <c r="B2">
        <v>0.19645793591733843</v>
      </c>
      <c r="C2">
        <f t="shared" ref="C2:C40" si="0">$H$3*(1+$H$1)*(A2^($H$1))*EXP(-$H$3*(A2^(1+$H$1)))</f>
        <v>0.30703460115951647</v>
      </c>
      <c r="D2">
        <f t="shared" ref="D2:D40" si="1">B2-C2</f>
        <v>-0.11057666524217805</v>
      </c>
      <c r="E2">
        <f t="shared" ref="E2:E40" si="2">D2^2</f>
        <v>1.2227198896080706E-2</v>
      </c>
    </row>
    <row r="3" spans="1:8" x14ac:dyDescent="0.25">
      <c r="A3">
        <v>0.37586844624999999</v>
      </c>
      <c r="B3">
        <v>0.32246883420775246</v>
      </c>
      <c r="C3">
        <f t="shared" si="0"/>
        <v>0.39673591287871784</v>
      </c>
      <c r="D3">
        <f t="shared" si="1"/>
        <v>-7.4267078670965381E-2</v>
      </c>
      <c r="E3">
        <f t="shared" si="2"/>
        <v>5.5155989743193613E-3</v>
      </c>
      <c r="G3" t="s">
        <v>1</v>
      </c>
      <c r="H3">
        <f>(_xlfn.GAMMA((2+$H$1)/(1+$H$1)))^(1+$H$1)</f>
        <v>0.74040949086166219</v>
      </c>
    </row>
    <row r="4" spans="1:8" x14ac:dyDescent="0.25">
      <c r="A4">
        <v>0.43920341354999998</v>
      </c>
      <c r="B4">
        <v>0.59731150213251383</v>
      </c>
      <c r="C4">
        <f t="shared" si="0"/>
        <v>0.48739685446028669</v>
      </c>
      <c r="D4">
        <f t="shared" si="1"/>
        <v>0.10991464767222714</v>
      </c>
      <c r="E4">
        <f t="shared" si="2"/>
        <v>1.2081229772909827E-2</v>
      </c>
    </row>
    <row r="5" spans="1:8" x14ac:dyDescent="0.25">
      <c r="A5">
        <v>0.50253838084999991</v>
      </c>
      <c r="B5">
        <v>0.71141585885218006</v>
      </c>
      <c r="C5">
        <f t="shared" si="0"/>
        <v>0.5757198896509228</v>
      </c>
      <c r="D5">
        <f t="shared" si="1"/>
        <v>0.13569596920125726</v>
      </c>
      <c r="E5">
        <f t="shared" si="2"/>
        <v>1.841339605746856E-2</v>
      </c>
      <c r="G5" t="s">
        <v>2</v>
      </c>
      <c r="H5">
        <f>SUM(E1:E40)</f>
        <v>0.42999079108547544</v>
      </c>
    </row>
    <row r="6" spans="1:8" x14ac:dyDescent="0.25">
      <c r="A6">
        <v>0.56587334815000001</v>
      </c>
      <c r="B6">
        <v>0.79575386164497686</v>
      </c>
      <c r="C6">
        <f t="shared" si="0"/>
        <v>0.65849006458775772</v>
      </c>
      <c r="D6">
        <f t="shared" si="1"/>
        <v>0.13726379705721914</v>
      </c>
      <c r="E6">
        <f t="shared" si="2"/>
        <v>1.8841349982565442E-2</v>
      </c>
    </row>
    <row r="7" spans="1:8" x14ac:dyDescent="0.25">
      <c r="A7">
        <v>0.62920831544999989</v>
      </c>
      <c r="B7">
        <v>0.76995635490835668</v>
      </c>
      <c r="C7">
        <f t="shared" si="0"/>
        <v>0.73269034950267031</v>
      </c>
      <c r="D7">
        <f t="shared" si="1"/>
        <v>3.7266005405686364E-2</v>
      </c>
      <c r="E7">
        <f t="shared" si="2"/>
        <v>1.3887551588966454E-3</v>
      </c>
    </row>
    <row r="8" spans="1:8" x14ac:dyDescent="0.25">
      <c r="A8">
        <v>0.69254328274999999</v>
      </c>
      <c r="B8">
        <v>0.87513080544996213</v>
      </c>
      <c r="C8">
        <f t="shared" si="0"/>
        <v>0.79563412895686569</v>
      </c>
      <c r="D8">
        <f t="shared" si="1"/>
        <v>7.9496676493096441E-2</v>
      </c>
      <c r="E8">
        <f t="shared" si="2"/>
        <v>6.3197215734480325E-3</v>
      </c>
    </row>
    <row r="9" spans="1:8" x14ac:dyDescent="0.25">
      <c r="A9">
        <v>0.75587825004999998</v>
      </c>
      <c r="B9">
        <v>0.92176475993539098</v>
      </c>
      <c r="C9">
        <f t="shared" si="0"/>
        <v>0.8450971143713033</v>
      </c>
      <c r="D9">
        <f t="shared" si="1"/>
        <v>7.6667645564087672E-2</v>
      </c>
      <c r="E9">
        <f t="shared" si="2"/>
        <v>5.877927876340572E-3</v>
      </c>
    </row>
    <row r="10" spans="1:8" x14ac:dyDescent="0.25">
      <c r="A10">
        <v>0.81921321734999997</v>
      </c>
      <c r="B10">
        <v>1.0418223874404311</v>
      </c>
      <c r="C10">
        <f t="shared" si="0"/>
        <v>0.87943349805152959</v>
      </c>
      <c r="D10">
        <f t="shared" si="1"/>
        <v>0.1623888893889015</v>
      </c>
      <c r="E10">
        <f t="shared" si="2"/>
        <v>2.6370151396960886E-2</v>
      </c>
    </row>
    <row r="11" spans="1:8" x14ac:dyDescent="0.25">
      <c r="A11">
        <v>0.88254818464999996</v>
      </c>
      <c r="B11">
        <v>1.1499734733747236</v>
      </c>
      <c r="C11">
        <f t="shared" si="0"/>
        <v>0.89766349036005888</v>
      </c>
      <c r="D11">
        <f t="shared" si="1"/>
        <v>0.25230998301466467</v>
      </c>
      <c r="E11">
        <f t="shared" si="2"/>
        <v>6.3660327528860375E-2</v>
      </c>
    </row>
    <row r="12" spans="1:8" x14ac:dyDescent="0.25">
      <c r="A12">
        <v>0.94588315194999995</v>
      </c>
      <c r="B12">
        <v>1.1906541570747784</v>
      </c>
      <c r="C12">
        <f t="shared" si="0"/>
        <v>0.89952231556937789</v>
      </c>
      <c r="D12">
        <f t="shared" si="1"/>
        <v>0.2911318415054005</v>
      </c>
      <c r="E12">
        <f t="shared" si="2"/>
        <v>8.4757749138325636E-2</v>
      </c>
    </row>
    <row r="13" spans="1:8" x14ac:dyDescent="0.25">
      <c r="A13">
        <v>1.0092181192499998</v>
      </c>
      <c r="B13">
        <v>0.85727099309384047</v>
      </c>
      <c r="C13">
        <f t="shared" si="0"/>
        <v>0.88546446571825599</v>
      </c>
      <c r="D13">
        <f t="shared" si="1"/>
        <v>-2.8193472624415516E-2</v>
      </c>
      <c r="E13">
        <f t="shared" si="2"/>
        <v>7.9487189862366718E-4</v>
      </c>
    </row>
    <row r="14" spans="1:8" x14ac:dyDescent="0.25">
      <c r="A14">
        <v>1.0725530865499999</v>
      </c>
      <c r="B14">
        <v>0.8929906178060838</v>
      </c>
      <c r="C14">
        <f t="shared" si="0"/>
        <v>0.85662135173317377</v>
      </c>
      <c r="D14">
        <f t="shared" si="1"/>
        <v>3.6369266072910023E-2</v>
      </c>
      <c r="E14">
        <f t="shared" si="2"/>
        <v>1.322723514682124E-3</v>
      </c>
    </row>
    <row r="15" spans="1:8" x14ac:dyDescent="0.25">
      <c r="A15">
        <v>1.1358880538499998</v>
      </c>
      <c r="B15">
        <v>0.66875075155700048</v>
      </c>
      <c r="C15">
        <f t="shared" si="0"/>
        <v>0.81471506337279065</v>
      </c>
      <c r="D15">
        <f t="shared" si="1"/>
        <v>-0.14596431181579017</v>
      </c>
      <c r="E15">
        <f t="shared" si="2"/>
        <v>2.1305580323857223E-2</v>
      </c>
    </row>
    <row r="16" spans="1:8" x14ac:dyDescent="0.25">
      <c r="A16">
        <v>1.1992230211499999</v>
      </c>
      <c r="B16">
        <v>0.57349841899101828</v>
      </c>
      <c r="C16">
        <f t="shared" si="0"/>
        <v>0.76193526289061542</v>
      </c>
      <c r="D16">
        <f t="shared" si="1"/>
        <v>-0.18843684389959714</v>
      </c>
      <c r="E16">
        <f t="shared" si="2"/>
        <v>3.550844413884114E-2</v>
      </c>
    </row>
    <row r="17" spans="1:5" x14ac:dyDescent="0.25">
      <c r="A17">
        <v>1.26255798845</v>
      </c>
      <c r="B17">
        <v>0.55663081843245887</v>
      </c>
      <c r="C17">
        <f t="shared" si="0"/>
        <v>0.70078978748449183</v>
      </c>
      <c r="D17">
        <f t="shared" si="1"/>
        <v>-0.14415896905203296</v>
      </c>
      <c r="E17">
        <f t="shared" si="2"/>
        <v>2.0781808358144995E-2</v>
      </c>
    </row>
    <row r="18" spans="1:5" x14ac:dyDescent="0.25">
      <c r="A18">
        <v>1.3258929557499999</v>
      </c>
      <c r="B18">
        <v>0.52488004091046481</v>
      </c>
      <c r="C18">
        <f t="shared" si="0"/>
        <v>0.63394189416528746</v>
      </c>
      <c r="D18">
        <f t="shared" si="1"/>
        <v>-0.10906185325482265</v>
      </c>
      <c r="E18">
        <f t="shared" si="2"/>
        <v>1.189448783537647E-2</v>
      </c>
    </row>
    <row r="19" spans="1:5" x14ac:dyDescent="0.25">
      <c r="A19">
        <v>1.3892279230499998</v>
      </c>
      <c r="B19">
        <v>0.39986135441761306</v>
      </c>
      <c r="C19">
        <f t="shared" si="0"/>
        <v>0.56404796888574638</v>
      </c>
      <c r="D19">
        <f t="shared" si="1"/>
        <v>-0.16418661446813332</v>
      </c>
      <c r="E19">
        <f t="shared" si="2"/>
        <v>2.6957244370507446E-2</v>
      </c>
    </row>
    <row r="20" spans="1:5" x14ac:dyDescent="0.25">
      <c r="A20">
        <v>1.4525628903499999</v>
      </c>
      <c r="B20">
        <v>0.35918067071755816</v>
      </c>
      <c r="C20">
        <f t="shared" si="0"/>
        <v>0.49360885892239359</v>
      </c>
      <c r="D20">
        <f t="shared" si="1"/>
        <v>-0.13442818820483543</v>
      </c>
      <c r="E20">
        <f t="shared" si="2"/>
        <v>1.8070937784034655E-2</v>
      </c>
    </row>
    <row r="21" spans="1:5" x14ac:dyDescent="0.25">
      <c r="A21">
        <v>1.5158978576499997</v>
      </c>
      <c r="B21">
        <v>0.37803269487124214</v>
      </c>
      <c r="C21">
        <f t="shared" si="0"/>
        <v>0.42484590548972212</v>
      </c>
      <c r="D21">
        <f t="shared" si="1"/>
        <v>-4.6813210618479983E-2</v>
      </c>
      <c r="E21">
        <f t="shared" si="2"/>
        <v>2.1914766884101669E-3</v>
      </c>
    </row>
    <row r="22" spans="1:5" x14ac:dyDescent="0.25">
      <c r="A22">
        <v>1.5792328249500001</v>
      </c>
      <c r="B22">
        <v>0.32842210499312635</v>
      </c>
      <c r="C22">
        <f t="shared" si="0"/>
        <v>0.35960957504453644</v>
      </c>
      <c r="D22">
        <f t="shared" si="1"/>
        <v>-3.1187470051410093E-2</v>
      </c>
      <c r="E22">
        <f t="shared" si="2"/>
        <v>9.726582882076015E-4</v>
      </c>
    </row>
    <row r="23" spans="1:5" x14ac:dyDescent="0.25">
      <c r="A23">
        <v>1.6425677922499999</v>
      </c>
      <c r="B23">
        <v>0.27186603253207442</v>
      </c>
      <c r="C23">
        <f t="shared" si="0"/>
        <v>0.29932477215287467</v>
      </c>
      <c r="D23">
        <f t="shared" si="1"/>
        <v>-2.7458739620800254E-2</v>
      </c>
      <c r="E23">
        <f t="shared" si="2"/>
        <v>7.5398238156290567E-4</v>
      </c>
    </row>
    <row r="24" spans="1:5" x14ac:dyDescent="0.25">
      <c r="A24">
        <v>1.7059027595499998</v>
      </c>
      <c r="B24">
        <v>0.22721650164177021</v>
      </c>
      <c r="C24">
        <f t="shared" si="0"/>
        <v>0.24497298466715159</v>
      </c>
      <c r="D24">
        <f t="shared" si="1"/>
        <v>-1.7756483025381381E-2</v>
      </c>
      <c r="E24">
        <f t="shared" si="2"/>
        <v>3.152926894306571E-4</v>
      </c>
    </row>
    <row r="25" spans="1:5" x14ac:dyDescent="0.25">
      <c r="A25">
        <v>1.7692377268499997</v>
      </c>
      <c r="B25">
        <v>0.25896727916376427</v>
      </c>
      <c r="C25">
        <f t="shared" si="0"/>
        <v>0.1971078620018521</v>
      </c>
      <c r="D25">
        <f t="shared" si="1"/>
        <v>6.1859417161912178E-2</v>
      </c>
      <c r="E25">
        <f t="shared" si="2"/>
        <v>3.8265874916114748E-3</v>
      </c>
    </row>
    <row r="26" spans="1:5" x14ac:dyDescent="0.25">
      <c r="A26">
        <v>1.83257269415</v>
      </c>
      <c r="B26">
        <v>0.20042678310758769</v>
      </c>
      <c r="C26">
        <f t="shared" si="0"/>
        <v>0.15589806180054569</v>
      </c>
      <c r="D26">
        <f t="shared" si="1"/>
        <v>4.4528721307041996E-2</v>
      </c>
      <c r="E26">
        <f t="shared" si="2"/>
        <v>1.9828070212402158E-3</v>
      </c>
    </row>
    <row r="27" spans="1:5" x14ac:dyDescent="0.25">
      <c r="A27">
        <v>1.8959076614499999</v>
      </c>
      <c r="B27">
        <v>0.1627227348002197</v>
      </c>
      <c r="C27">
        <f t="shared" si="0"/>
        <v>0.12118947205783547</v>
      </c>
      <c r="D27">
        <f t="shared" si="1"/>
        <v>4.1533262742384239E-2</v>
      </c>
      <c r="E27">
        <f t="shared" si="2"/>
        <v>1.7250119140279228E-3</v>
      </c>
    </row>
    <row r="28" spans="1:5" x14ac:dyDescent="0.25">
      <c r="A28">
        <v>1.9592426287499998</v>
      </c>
      <c r="B28">
        <v>0.15875388760997045</v>
      </c>
      <c r="C28">
        <f t="shared" si="0"/>
        <v>9.2578304665210095E-2</v>
      </c>
      <c r="D28">
        <f t="shared" si="1"/>
        <v>6.617558294476035E-2</v>
      </c>
      <c r="E28">
        <f t="shared" si="2"/>
        <v>4.379207778078857E-3</v>
      </c>
    </row>
    <row r="29" spans="1:5" x14ac:dyDescent="0.25">
      <c r="A29">
        <v>2.0225775960499996</v>
      </c>
      <c r="B29">
        <v>0.12104983930260246</v>
      </c>
      <c r="C29">
        <f t="shared" si="0"/>
        <v>6.9486977226979454E-2</v>
      </c>
      <c r="D29">
        <f t="shared" si="1"/>
        <v>5.1562862075623009E-2</v>
      </c>
      <c r="E29">
        <f t="shared" si="2"/>
        <v>2.6587287454297214E-3</v>
      </c>
    </row>
    <row r="30" spans="1:5" x14ac:dyDescent="0.25">
      <c r="A30">
        <v>2.08591256335</v>
      </c>
      <c r="B30">
        <v>0.10120560335135616</v>
      </c>
      <c r="C30">
        <f t="shared" si="0"/>
        <v>5.1235937244522446E-2</v>
      </c>
      <c r="D30">
        <f t="shared" si="1"/>
        <v>4.9969666106833711E-2</v>
      </c>
      <c r="E30">
        <f t="shared" si="2"/>
        <v>2.496967530828446E-3</v>
      </c>
    </row>
    <row r="31" spans="1:5" x14ac:dyDescent="0.25">
      <c r="A31">
        <v>2.1492475306499998</v>
      </c>
      <c r="B31">
        <v>6.6478190436675133E-2</v>
      </c>
      <c r="C31">
        <f t="shared" si="0"/>
        <v>3.7106342220383011E-2</v>
      </c>
      <c r="D31">
        <f t="shared" si="1"/>
        <v>2.9371848216292122E-2</v>
      </c>
      <c r="E31">
        <f t="shared" si="2"/>
        <v>8.6270546764090274E-4</v>
      </c>
    </row>
    <row r="32" spans="1:5" x14ac:dyDescent="0.25">
      <c r="A32">
        <v>2.2125824979499997</v>
      </c>
      <c r="B32">
        <v>6.9454825829362073E-3</v>
      </c>
      <c r="C32">
        <f t="shared" si="0"/>
        <v>2.6390475542837837E-2</v>
      </c>
      <c r="D32">
        <f t="shared" si="1"/>
        <v>-1.9444992959901632E-2</v>
      </c>
      <c r="E32">
        <f t="shared" si="2"/>
        <v>3.7810775121062401E-4</v>
      </c>
    </row>
    <row r="33" spans="1:5" x14ac:dyDescent="0.25">
      <c r="A33">
        <v>2.27591746525</v>
      </c>
      <c r="B33">
        <v>0</v>
      </c>
      <c r="C33">
        <f t="shared" si="0"/>
        <v>1.842866637151655E-2</v>
      </c>
      <c r="D33">
        <f t="shared" si="1"/>
        <v>-1.842866637151655E-2</v>
      </c>
      <c r="E33">
        <f t="shared" si="2"/>
        <v>3.3961574423266495E-4</v>
      </c>
    </row>
    <row r="34" spans="1:5" x14ac:dyDescent="0.25">
      <c r="A34">
        <v>2.3392524325499995</v>
      </c>
      <c r="B34">
        <v>0</v>
      </c>
      <c r="C34">
        <f t="shared" si="0"/>
        <v>1.2633075455860837E-2</v>
      </c>
      <c r="D34">
        <f t="shared" si="1"/>
        <v>-1.2633075455860837E-2</v>
      </c>
      <c r="E34">
        <f t="shared" si="2"/>
        <v>1.595945954734735E-4</v>
      </c>
    </row>
    <row r="35" spans="1:5" x14ac:dyDescent="0.25">
      <c r="A35">
        <v>2.4025873998499998</v>
      </c>
      <c r="B35">
        <v>0</v>
      </c>
      <c r="C35">
        <f t="shared" si="0"/>
        <v>8.4998784008566749E-3</v>
      </c>
      <c r="D35">
        <f t="shared" si="1"/>
        <v>-8.4998784008566749E-3</v>
      </c>
      <c r="E35">
        <f t="shared" si="2"/>
        <v>7.2247932829349831E-5</v>
      </c>
    </row>
    <row r="36" spans="1:5" x14ac:dyDescent="0.25">
      <c r="A36">
        <v>2.4659223671500001</v>
      </c>
      <c r="B36">
        <v>0</v>
      </c>
      <c r="C36">
        <f t="shared" si="0"/>
        <v>5.6120818223140889E-3</v>
      </c>
      <c r="D36">
        <f t="shared" si="1"/>
        <v>-5.6120818223140889E-3</v>
      </c>
      <c r="E36">
        <f t="shared" si="2"/>
        <v>3.1495462380348225E-5</v>
      </c>
    </row>
    <row r="37" spans="1:5" x14ac:dyDescent="0.25">
      <c r="A37">
        <v>2.5292573344499996</v>
      </c>
      <c r="B37">
        <v>0</v>
      </c>
      <c r="C37">
        <f t="shared" si="0"/>
        <v>3.6354785301388947E-3</v>
      </c>
      <c r="D37">
        <f t="shared" si="1"/>
        <v>-3.6354785301388947E-3</v>
      </c>
      <c r="E37">
        <f t="shared" si="2"/>
        <v>1.3216704143100859E-5</v>
      </c>
    </row>
    <row r="38" spans="1:5" x14ac:dyDescent="0.25">
      <c r="A38">
        <v>2.5925923017499999</v>
      </c>
      <c r="B38">
        <v>0</v>
      </c>
      <c r="C38">
        <f t="shared" si="0"/>
        <v>2.310168730345829E-3</v>
      </c>
      <c r="D38">
        <f t="shared" si="1"/>
        <v>-2.310168730345829E-3</v>
      </c>
      <c r="E38">
        <f t="shared" si="2"/>
        <v>5.3368795626676592E-6</v>
      </c>
    </row>
    <row r="39" spans="1:5" x14ac:dyDescent="0.25">
      <c r="A39">
        <v>2.6559272690499998</v>
      </c>
      <c r="B39">
        <v>0</v>
      </c>
      <c r="C39">
        <f t="shared" si="0"/>
        <v>1.4397538590911905E-3</v>
      </c>
      <c r="D39">
        <f t="shared" si="1"/>
        <v>-1.4397538590911905E-3</v>
      </c>
      <c r="E39">
        <f t="shared" si="2"/>
        <v>2.0728911747679756E-6</v>
      </c>
    </row>
    <row r="40" spans="1:5" x14ac:dyDescent="0.25">
      <c r="A40">
        <v>2.7192622363499996</v>
      </c>
      <c r="B40">
        <v>9.9221179756231524E-4</v>
      </c>
      <c r="C40">
        <f t="shared" si="0"/>
        <v>8.7985869594604446E-4</v>
      </c>
      <c r="D40">
        <f t="shared" si="1"/>
        <v>1.1235310161627078E-4</v>
      </c>
      <c r="E40">
        <f t="shared" si="2"/>
        <v>1.2623219442796067E-8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E620-CA9E-46C7-BA93-934355DBAF5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0.28547849042499995</v>
      </c>
      <c r="B1">
        <v>0.10229264145854206</v>
      </c>
      <c r="C1">
        <f>$H$3*(1+$H$1)*(A1^($H$1))*EXP(-$H$3*(A1^(1+$H$1)))</f>
        <v>0.22750410615499833</v>
      </c>
      <c r="D1">
        <f>B1-C1</f>
        <v>-0.12521146469645628</v>
      </c>
      <c r="E1">
        <f>D1^2</f>
        <v>1.5677910891431918E-2</v>
      </c>
      <c r="G1" t="s">
        <v>0</v>
      </c>
      <c r="H1">
        <v>1.7013226847437317</v>
      </c>
    </row>
    <row r="2" spans="1:8" x14ac:dyDescent="0.25">
      <c r="A2">
        <v>0.34629741527500002</v>
      </c>
      <c r="B2">
        <v>0.21078483694487452</v>
      </c>
      <c r="C2">
        <f t="shared" ref="C2:C40" si="0">$H$3*(1+$H$1)*(A2^($H$1))*EXP(-$H$3*(A2^(1+$H$1)))</f>
        <v>0.31071279843291988</v>
      </c>
      <c r="D2">
        <f t="shared" ref="D2:D40" si="1">B2-C2</f>
        <v>-9.9927961488045364E-2</v>
      </c>
      <c r="E2">
        <f t="shared" ref="E2:E40" si="2">D2^2</f>
        <v>9.9855974871562777E-3</v>
      </c>
    </row>
    <row r="3" spans="1:8" x14ac:dyDescent="0.25">
      <c r="A3">
        <v>0.40711634012499998</v>
      </c>
      <c r="B3">
        <v>0.31514399641268004</v>
      </c>
      <c r="C3">
        <f t="shared" si="0"/>
        <v>0.39996784373396982</v>
      </c>
      <c r="D3">
        <f t="shared" si="1"/>
        <v>-8.482384732128978E-2</v>
      </c>
      <c r="E3">
        <f t="shared" si="2"/>
        <v>7.195085074385479E-3</v>
      </c>
      <c r="G3" t="s">
        <v>1</v>
      </c>
      <c r="H3">
        <f>(_xlfn.GAMMA((2+$H$1)/(1+$H$1)))^(1+$H$1)</f>
        <v>0.72838384208951279</v>
      </c>
    </row>
    <row r="4" spans="1:8" x14ac:dyDescent="0.25">
      <c r="A4">
        <v>0.46793526497499999</v>
      </c>
      <c r="B4">
        <v>0.58482459662156361</v>
      </c>
      <c r="C4">
        <f t="shared" si="0"/>
        <v>0.4922121840660646</v>
      </c>
      <c r="D4">
        <f t="shared" si="1"/>
        <v>9.2612412555499013E-2</v>
      </c>
      <c r="E4">
        <f t="shared" si="2"/>
        <v>8.5770589593499504E-3</v>
      </c>
    </row>
    <row r="5" spans="1:8" x14ac:dyDescent="0.25">
      <c r="A5">
        <v>0.528754189825</v>
      </c>
      <c r="B5">
        <v>0.7594453684043273</v>
      </c>
      <c r="C5">
        <f t="shared" si="0"/>
        <v>0.58416444688339608</v>
      </c>
      <c r="D5">
        <f t="shared" si="1"/>
        <v>0.17528092152093122</v>
      </c>
      <c r="E5">
        <f t="shared" si="2"/>
        <v>3.0723401449226851E-2</v>
      </c>
      <c r="G5" t="s">
        <v>2</v>
      </c>
      <c r="H5">
        <f>SUM(E1:E40)</f>
        <v>0.45532552606172111</v>
      </c>
    </row>
    <row r="6" spans="1:8" x14ac:dyDescent="0.25">
      <c r="A6">
        <v>0.58957311467499995</v>
      </c>
      <c r="B6">
        <v>0.83074023972391731</v>
      </c>
      <c r="C6">
        <f t="shared" si="0"/>
        <v>0.67241653098455123</v>
      </c>
      <c r="D6">
        <f t="shared" si="1"/>
        <v>0.15832370873936608</v>
      </c>
      <c r="E6">
        <f t="shared" si="2"/>
        <v>2.5066396748987623E-2</v>
      </c>
    </row>
    <row r="7" spans="1:8" x14ac:dyDescent="0.25">
      <c r="A7">
        <v>0.65039203952499991</v>
      </c>
      <c r="B7">
        <v>0.82144090868223163</v>
      </c>
      <c r="C7">
        <f t="shared" si="0"/>
        <v>0.75357250266996956</v>
      </c>
      <c r="D7">
        <f t="shared" si="1"/>
        <v>6.7868406012262072E-2</v>
      </c>
      <c r="E7">
        <f t="shared" si="2"/>
        <v>4.6061205346452508E-3</v>
      </c>
    </row>
    <row r="8" spans="1:8" x14ac:dyDescent="0.25">
      <c r="A8">
        <v>0.71121096437499998</v>
      </c>
      <c r="B8">
        <v>0.89790207502498021</v>
      </c>
      <c r="C8">
        <f t="shared" si="0"/>
        <v>0.82441498108619193</v>
      </c>
      <c r="D8">
        <f t="shared" si="1"/>
        <v>7.3487093938788273E-2</v>
      </c>
      <c r="E8">
        <f t="shared" si="2"/>
        <v>5.4003529755682917E-3</v>
      </c>
    </row>
    <row r="9" spans="1:8" x14ac:dyDescent="0.25">
      <c r="A9">
        <v>0.77202988922499993</v>
      </c>
      <c r="B9">
        <v>0.98779560842794145</v>
      </c>
      <c r="C9">
        <f t="shared" si="0"/>
        <v>0.88208375148539753</v>
      </c>
      <c r="D9">
        <f t="shared" si="1"/>
        <v>0.10571185694254392</v>
      </c>
      <c r="E9">
        <f t="shared" si="2"/>
        <v>1.1174996698240873E-2</v>
      </c>
    </row>
    <row r="10" spans="1:8" x14ac:dyDescent="0.25">
      <c r="A10">
        <v>0.83284881407499989</v>
      </c>
      <c r="B10">
        <v>1.0776891418309027</v>
      </c>
      <c r="C10">
        <f t="shared" si="0"/>
        <v>0.92424976618779464</v>
      </c>
      <c r="D10">
        <f t="shared" si="1"/>
        <v>0.15343937564310806</v>
      </c>
      <c r="E10">
        <f t="shared" si="2"/>
        <v>2.3543641997746823E-2</v>
      </c>
    </row>
    <row r="11" spans="1:8" x14ac:dyDescent="0.25">
      <c r="A11">
        <v>0.89366773892500007</v>
      </c>
      <c r="B11">
        <v>1.1386514231041751</v>
      </c>
      <c r="C11">
        <f t="shared" si="0"/>
        <v>0.94926709243067819</v>
      </c>
      <c r="D11">
        <f t="shared" si="1"/>
        <v>0.18938433067349691</v>
      </c>
      <c r="E11">
        <f t="shared" si="2"/>
        <v>3.5866424704648424E-2</v>
      </c>
    </row>
    <row r="12" spans="1:8" x14ac:dyDescent="0.25">
      <c r="A12">
        <v>0.95448666377500002</v>
      </c>
      <c r="B12">
        <v>1.2698753166924059</v>
      </c>
      <c r="C12">
        <f t="shared" si="0"/>
        <v>0.95628637649280257</v>
      </c>
      <c r="D12">
        <f t="shared" si="1"/>
        <v>0.31358894019960337</v>
      </c>
      <c r="E12">
        <f t="shared" si="2"/>
        <v>9.8338023415510414E-2</v>
      </c>
    </row>
    <row r="13" spans="1:8" x14ac:dyDescent="0.25">
      <c r="A13">
        <v>1.015305588625</v>
      </c>
      <c r="B13">
        <v>0.95679783828898923</v>
      </c>
      <c r="C13">
        <f t="shared" si="0"/>
        <v>0.94531628656715438</v>
      </c>
      <c r="D13">
        <f t="shared" si="1"/>
        <v>1.1481551721834848E-2</v>
      </c>
      <c r="E13">
        <f t="shared" si="2"/>
        <v>1.3182602994116877E-4</v>
      </c>
    </row>
    <row r="14" spans="1:8" x14ac:dyDescent="0.25">
      <c r="A14">
        <v>1.0761245134749999</v>
      </c>
      <c r="B14">
        <v>0.97642975937699228</v>
      </c>
      <c r="C14">
        <f t="shared" si="0"/>
        <v>0.91722409734044352</v>
      </c>
      <c r="D14">
        <f t="shared" si="1"/>
        <v>5.9205662036548756E-2</v>
      </c>
      <c r="E14">
        <f t="shared" si="2"/>
        <v>3.5053104171860307E-3</v>
      </c>
    </row>
    <row r="15" spans="1:8" x14ac:dyDescent="0.25">
      <c r="A15">
        <v>1.1369434383249999</v>
      </c>
      <c r="B15">
        <v>0.69848308713105478</v>
      </c>
      <c r="C15">
        <f t="shared" si="0"/>
        <v>0.87367267462263298</v>
      </c>
      <c r="D15">
        <f t="shared" si="1"/>
        <v>-0.1751895874915782</v>
      </c>
      <c r="E15">
        <f t="shared" si="2"/>
        <v>3.0691391565469333E-2</v>
      </c>
    </row>
    <row r="16" spans="1:8" x14ac:dyDescent="0.25">
      <c r="A16">
        <v>1.1977623631750001</v>
      </c>
      <c r="B16">
        <v>0.64578687789483613</v>
      </c>
      <c r="C16">
        <f t="shared" si="0"/>
        <v>0.81699790854025045</v>
      </c>
      <c r="D16">
        <f t="shared" si="1"/>
        <v>-0.17121103064541432</v>
      </c>
      <c r="E16">
        <f t="shared" si="2"/>
        <v>2.9313217014665001E-2</v>
      </c>
    </row>
    <row r="17" spans="1:5" x14ac:dyDescent="0.25">
      <c r="A17">
        <v>1.258581288025</v>
      </c>
      <c r="B17">
        <v>0.59515718666788098</v>
      </c>
      <c r="C17">
        <f t="shared" si="0"/>
        <v>0.75003724114303771</v>
      </c>
      <c r="D17">
        <f t="shared" si="1"/>
        <v>-0.15488005447515674</v>
      </c>
      <c r="E17">
        <f t="shared" si="2"/>
        <v>2.3987831274227517E-2</v>
      </c>
    </row>
    <row r="18" spans="1:5" x14ac:dyDescent="0.25">
      <c r="A18">
        <v>1.319400212875</v>
      </c>
      <c r="B18">
        <v>0.52386231534829109</v>
      </c>
      <c r="C18">
        <f t="shared" si="0"/>
        <v>0.67592540682776614</v>
      </c>
      <c r="D18">
        <f t="shared" si="1"/>
        <v>-0.15206309147947505</v>
      </c>
      <c r="E18">
        <f t="shared" si="2"/>
        <v>2.3123183790295199E-2</v>
      </c>
    </row>
    <row r="19" spans="1:5" x14ac:dyDescent="0.25">
      <c r="A19">
        <v>1.3802191377249999</v>
      </c>
      <c r="B19">
        <v>0.43190226393606646</v>
      </c>
      <c r="C19">
        <f t="shared" si="0"/>
        <v>0.59787703935556646</v>
      </c>
      <c r="D19">
        <f t="shared" si="1"/>
        <v>-0.16597477541950001</v>
      </c>
      <c r="E19">
        <f t="shared" si="2"/>
        <v>2.7547626075553465E-2</v>
      </c>
    </row>
    <row r="20" spans="1:5" x14ac:dyDescent="0.25">
      <c r="A20">
        <v>1.4410380625749999</v>
      </c>
      <c r="B20">
        <v>0.3978047167832191</v>
      </c>
      <c r="C20">
        <f t="shared" si="0"/>
        <v>0.51897685762849655</v>
      </c>
      <c r="D20">
        <f t="shared" si="1"/>
        <v>-0.12117214084527744</v>
      </c>
      <c r="E20">
        <f t="shared" si="2"/>
        <v>1.4682687717027755E-2</v>
      </c>
    </row>
    <row r="21" spans="1:5" x14ac:dyDescent="0.25">
      <c r="A21">
        <v>1.5018569874249998</v>
      </c>
      <c r="B21">
        <v>0.39470493976932386</v>
      </c>
      <c r="C21">
        <f t="shared" si="0"/>
        <v>0.44199656575946428</v>
      </c>
      <c r="D21">
        <f t="shared" si="1"/>
        <v>-4.7291625990140418E-2</v>
      </c>
      <c r="E21">
        <f t="shared" si="2"/>
        <v>2.2364978887913249E-3</v>
      </c>
    </row>
    <row r="22" spans="1:5" x14ac:dyDescent="0.25">
      <c r="A22">
        <v>1.562675912275</v>
      </c>
      <c r="B22">
        <v>0.30894444238488961</v>
      </c>
      <c r="C22">
        <f t="shared" si="0"/>
        <v>0.36925365421914014</v>
      </c>
      <c r="D22">
        <f t="shared" si="1"/>
        <v>-6.0309211834250531E-2</v>
      </c>
      <c r="E22">
        <f t="shared" si="2"/>
        <v>3.6372010320685042E-3</v>
      </c>
    </row>
    <row r="23" spans="1:5" x14ac:dyDescent="0.25">
      <c r="A23">
        <v>1.623494837125</v>
      </c>
      <c r="B23">
        <v>0.2779466722459375</v>
      </c>
      <c r="C23">
        <f t="shared" si="0"/>
        <v>0.30252160924307853</v>
      </c>
      <c r="D23">
        <f t="shared" si="1"/>
        <v>-2.4574936997141028E-2</v>
      </c>
      <c r="E23">
        <f t="shared" si="2"/>
        <v>6.0392752841345089E-4</v>
      </c>
    </row>
    <row r="24" spans="1:5" x14ac:dyDescent="0.25">
      <c r="A24">
        <v>1.6843137619749999</v>
      </c>
      <c r="B24">
        <v>0.27381363622741056</v>
      </c>
      <c r="C24">
        <f t="shared" si="0"/>
        <v>0.24299452920332326</v>
      </c>
      <c r="D24">
        <f t="shared" si="1"/>
        <v>3.08191070240873E-2</v>
      </c>
      <c r="E24">
        <f t="shared" si="2"/>
        <v>9.498173577621471E-4</v>
      </c>
    </row>
    <row r="25" spans="1:5" x14ac:dyDescent="0.25">
      <c r="A25">
        <v>1.7451326868249999</v>
      </c>
      <c r="B25">
        <v>0.23558305305603625</v>
      </c>
      <c r="C25">
        <f t="shared" si="0"/>
        <v>0.1913028036169723</v>
      </c>
      <c r="D25">
        <f t="shared" si="1"/>
        <v>4.4280249439063946E-2</v>
      </c>
      <c r="E25">
        <f t="shared" si="2"/>
        <v>1.9607404903857228E-3</v>
      </c>
    </row>
    <row r="26" spans="1:5" x14ac:dyDescent="0.25">
      <c r="A26">
        <v>1.8059516116749998</v>
      </c>
      <c r="B26">
        <v>0.20871831893561105</v>
      </c>
      <c r="C26">
        <f t="shared" si="0"/>
        <v>0.14757123712835923</v>
      </c>
      <c r="D26">
        <f t="shared" si="1"/>
        <v>6.1147081807251813E-2</v>
      </c>
      <c r="E26">
        <f t="shared" si="2"/>
        <v>3.7389656135427456E-3</v>
      </c>
    </row>
    <row r="27" spans="1:5" x14ac:dyDescent="0.25">
      <c r="A27">
        <v>1.866770536525</v>
      </c>
      <c r="B27">
        <v>0.16428818173644633</v>
      </c>
      <c r="C27">
        <f t="shared" si="0"/>
        <v>0.11150745453997479</v>
      </c>
      <c r="D27">
        <f t="shared" si="1"/>
        <v>5.2780727196471533E-2</v>
      </c>
      <c r="E27">
        <f t="shared" si="2"/>
        <v>2.7858051633883499E-3</v>
      </c>
    </row>
    <row r="28" spans="1:5" x14ac:dyDescent="0.25">
      <c r="A28">
        <v>1.9275894613749998</v>
      </c>
      <c r="B28">
        <v>0.14878929666697024</v>
      </c>
      <c r="C28">
        <f t="shared" si="0"/>
        <v>8.2506915904385983E-2</v>
      </c>
      <c r="D28">
        <f t="shared" si="1"/>
        <v>6.6282380762584261E-2</v>
      </c>
      <c r="E28">
        <f t="shared" si="2"/>
        <v>4.3933539995562E-3</v>
      </c>
    </row>
    <row r="29" spans="1:5" x14ac:dyDescent="0.25">
      <c r="A29">
        <v>1.9884083862249997</v>
      </c>
      <c r="B29">
        <v>0.11365849050949117</v>
      </c>
      <c r="C29">
        <f t="shared" si="0"/>
        <v>5.9761347414628602E-2</v>
      </c>
      <c r="D29">
        <f t="shared" si="1"/>
        <v>5.3897143094862571E-2</v>
      </c>
      <c r="E29">
        <f t="shared" si="2"/>
        <v>2.9049020337880921E-3</v>
      </c>
    </row>
    <row r="30" spans="1:5" x14ac:dyDescent="0.25">
      <c r="A30">
        <v>2.0492273110749997</v>
      </c>
      <c r="B30">
        <v>8.4727238379802505E-2</v>
      </c>
      <c r="C30">
        <f t="shared" si="0"/>
        <v>4.2359483992797278E-2</v>
      </c>
      <c r="D30">
        <f t="shared" si="1"/>
        <v>4.2367754387005227E-2</v>
      </c>
      <c r="E30">
        <f t="shared" si="2"/>
        <v>1.7950266117976006E-3</v>
      </c>
    </row>
    <row r="31" spans="1:5" x14ac:dyDescent="0.25">
      <c r="A31">
        <v>2.1100462359250001</v>
      </c>
      <c r="B31">
        <v>7.232813032422165E-3</v>
      </c>
      <c r="C31">
        <f t="shared" si="0"/>
        <v>2.9372146577420676E-2</v>
      </c>
      <c r="D31">
        <f t="shared" si="1"/>
        <v>-2.2139333544998509E-2</v>
      </c>
      <c r="E31">
        <f t="shared" si="2"/>
        <v>4.9015008981669625E-4</v>
      </c>
    </row>
    <row r="32" spans="1:5" x14ac:dyDescent="0.25">
      <c r="A32">
        <v>2.1708651607749996</v>
      </c>
      <c r="B32">
        <v>0</v>
      </c>
      <c r="C32">
        <f t="shared" si="0"/>
        <v>1.9917193493146041E-2</v>
      </c>
      <c r="D32">
        <f t="shared" si="1"/>
        <v>-1.9917193493146041E-2</v>
      </c>
      <c r="E32">
        <f t="shared" si="2"/>
        <v>3.9669459664341898E-4</v>
      </c>
    </row>
    <row r="33" spans="1:5" x14ac:dyDescent="0.25">
      <c r="A33">
        <v>2.231684085625</v>
      </c>
      <c r="B33">
        <v>0</v>
      </c>
      <c r="C33">
        <f t="shared" si="0"/>
        <v>1.3203200690738406E-2</v>
      </c>
      <c r="D33">
        <f t="shared" si="1"/>
        <v>-1.3203200690738406E-2</v>
      </c>
      <c r="E33">
        <f t="shared" si="2"/>
        <v>1.7432450847991511E-4</v>
      </c>
    </row>
    <row r="34" spans="1:5" x14ac:dyDescent="0.25">
      <c r="A34">
        <v>2.2925030104750004</v>
      </c>
      <c r="B34">
        <v>0</v>
      </c>
      <c r="C34">
        <f t="shared" si="0"/>
        <v>8.5534026109058744E-3</v>
      </c>
      <c r="D34">
        <f t="shared" si="1"/>
        <v>-8.5534026109058744E-3</v>
      </c>
      <c r="E34">
        <f t="shared" si="2"/>
        <v>7.3160696224251425E-5</v>
      </c>
    </row>
    <row r="35" spans="1:5" x14ac:dyDescent="0.25">
      <c r="A35">
        <v>2.3533219353249999</v>
      </c>
      <c r="B35">
        <v>0</v>
      </c>
      <c r="C35">
        <f t="shared" si="0"/>
        <v>5.4132266681011405E-3</v>
      </c>
      <c r="D35">
        <f t="shared" si="1"/>
        <v>-5.4132266681011405E-3</v>
      </c>
      <c r="E35">
        <f t="shared" si="2"/>
        <v>2.9303022960241375E-5</v>
      </c>
    </row>
    <row r="36" spans="1:5" x14ac:dyDescent="0.25">
      <c r="A36">
        <v>2.4141408601750003</v>
      </c>
      <c r="B36">
        <v>0</v>
      </c>
      <c r="C36">
        <f t="shared" si="0"/>
        <v>3.3456409845037433E-3</v>
      </c>
      <c r="D36">
        <f t="shared" si="1"/>
        <v>-3.3456409845037433E-3</v>
      </c>
      <c r="E36">
        <f t="shared" si="2"/>
        <v>1.1193313597191176E-5</v>
      </c>
    </row>
    <row r="37" spans="1:5" x14ac:dyDescent="0.25">
      <c r="A37">
        <v>2.4749597850249998</v>
      </c>
      <c r="B37">
        <v>0</v>
      </c>
      <c r="C37">
        <f t="shared" si="0"/>
        <v>2.0186261309252892E-3</v>
      </c>
      <c r="D37">
        <f t="shared" si="1"/>
        <v>-2.0186261309252892E-3</v>
      </c>
      <c r="E37">
        <f t="shared" si="2"/>
        <v>4.0748514564544025E-6</v>
      </c>
    </row>
    <row r="38" spans="1:5" x14ac:dyDescent="0.25">
      <c r="A38">
        <v>2.5357787098750002</v>
      </c>
      <c r="B38">
        <v>0</v>
      </c>
      <c r="C38">
        <f t="shared" si="0"/>
        <v>1.1885926015567495E-3</v>
      </c>
      <c r="D38">
        <f t="shared" si="1"/>
        <v>-1.1885926015567495E-3</v>
      </c>
      <c r="E38">
        <f t="shared" si="2"/>
        <v>1.412752372475442E-6</v>
      </c>
    </row>
    <row r="39" spans="1:5" x14ac:dyDescent="0.25">
      <c r="A39">
        <v>2.5965976347249997</v>
      </c>
      <c r="B39">
        <v>0</v>
      </c>
      <c r="C39">
        <f t="shared" si="0"/>
        <v>6.8274344666985126E-4</v>
      </c>
      <c r="D39">
        <f t="shared" si="1"/>
        <v>-6.8274344666985126E-4</v>
      </c>
      <c r="E39">
        <f t="shared" si="2"/>
        <v>4.6613861397062804E-7</v>
      </c>
    </row>
    <row r="40" spans="1:5" x14ac:dyDescent="0.25">
      <c r="A40">
        <v>2.6574165595750001</v>
      </c>
      <c r="B40">
        <v>1.0332590046317378E-3</v>
      </c>
      <c r="C40">
        <f t="shared" si="0"/>
        <v>3.8245119990790833E-4</v>
      </c>
      <c r="D40">
        <f t="shared" si="1"/>
        <v>6.5080780472382945E-4</v>
      </c>
      <c r="E40">
        <f t="shared" si="2"/>
        <v>4.2355079868945013E-7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4B00-3FCB-4342-A609-62D11455ED9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0.32697902622499997</v>
      </c>
      <c r="B1">
        <v>0.10487216743713357</v>
      </c>
      <c r="C1">
        <f>$H$3*(1+$H$1)*(A1^($H$1))*EXP(-$H$3*(A1^(1+$H$1)))</f>
        <v>0.23679413717351033</v>
      </c>
      <c r="D1">
        <f>B1-C1</f>
        <v>-0.13192196973637677</v>
      </c>
      <c r="E1">
        <f>D1^2</f>
        <v>1.7403406099125506E-2</v>
      </c>
      <c r="G1" t="s">
        <v>0</v>
      </c>
      <c r="H1">
        <v>1.9256071993965109</v>
      </c>
    </row>
    <row r="2" spans="1:8" x14ac:dyDescent="0.25">
      <c r="A2">
        <v>0.38510355267499996</v>
      </c>
      <c r="B2">
        <v>0.22920514945023004</v>
      </c>
      <c r="C2">
        <f t="shared" ref="C2:C40" si="0">$H$3*(1+$H$1)*(A2^($H$1))*EXP(-$H$3*(A2^(1+$H$1)))</f>
        <v>0.31911637897630396</v>
      </c>
      <c r="D2">
        <f t="shared" ref="D2:D40" si="1">B2-C2</f>
        <v>-8.9911229526073916E-2</v>
      </c>
      <c r="E2">
        <f t="shared" ref="E2:E40" si="2">D2^2</f>
        <v>8.0840291948903464E-3</v>
      </c>
    </row>
    <row r="3" spans="1:8" x14ac:dyDescent="0.25">
      <c r="A3">
        <v>0.44322807912500001</v>
      </c>
      <c r="B3">
        <v>0.31353534594606941</v>
      </c>
      <c r="C3">
        <f t="shared" si="0"/>
        <v>0.40908168537397638</v>
      </c>
      <c r="D3">
        <f t="shared" si="1"/>
        <v>-9.5546339427906968E-2</v>
      </c>
      <c r="E3">
        <f t="shared" si="2"/>
        <v>9.1291029780728103E-3</v>
      </c>
      <c r="G3" t="s">
        <v>1</v>
      </c>
      <c r="H3">
        <f>(_xlfn.GAMMA((2+$H$1)/(1+$H$1)))^(1+$H$1)</f>
        <v>0.71582926637699262</v>
      </c>
    </row>
    <row r="4" spans="1:8" x14ac:dyDescent="0.25">
      <c r="A4">
        <v>0.50135260557499994</v>
      </c>
      <c r="B4">
        <v>0.57517518635623766</v>
      </c>
      <c r="C4">
        <f t="shared" si="0"/>
        <v>0.50393909309880924</v>
      </c>
      <c r="D4">
        <f t="shared" si="1"/>
        <v>7.1236093257428412E-2</v>
      </c>
      <c r="E4">
        <f t="shared" si="2"/>
        <v>5.0745809825810378E-3</v>
      </c>
    </row>
    <row r="5" spans="1:8" x14ac:dyDescent="0.25">
      <c r="A5">
        <v>0.55947713202500005</v>
      </c>
      <c r="B5">
        <v>0.81086727399845537</v>
      </c>
      <c r="C5">
        <f t="shared" si="0"/>
        <v>0.60049140337739415</v>
      </c>
      <c r="D5">
        <f t="shared" si="1"/>
        <v>0.21037587062106122</v>
      </c>
      <c r="E5">
        <f t="shared" si="2"/>
        <v>4.4258006939569487E-2</v>
      </c>
      <c r="G5" t="s">
        <v>2</v>
      </c>
      <c r="H5">
        <f>SUM(E1:E40)</f>
        <v>0.48346966729905594</v>
      </c>
    </row>
    <row r="6" spans="1:8" x14ac:dyDescent="0.25">
      <c r="A6">
        <v>0.61760165847499993</v>
      </c>
      <c r="B6">
        <v>0.87681781228366307</v>
      </c>
      <c r="C6">
        <f t="shared" si="0"/>
        <v>0.6951906469548611</v>
      </c>
      <c r="D6">
        <f t="shared" si="1"/>
        <v>0.18162716532880196</v>
      </c>
      <c r="E6">
        <f t="shared" si="2"/>
        <v>3.2988427185375965E-2</v>
      </c>
    </row>
    <row r="7" spans="1:8" x14ac:dyDescent="0.25">
      <c r="A7">
        <v>0.67572618492499992</v>
      </c>
      <c r="B7">
        <v>0.89519747049429477</v>
      </c>
      <c r="C7">
        <f t="shared" si="0"/>
        <v>0.78428399235741486</v>
      </c>
      <c r="D7">
        <f t="shared" si="1"/>
        <v>0.11091347813687991</v>
      </c>
      <c r="E7">
        <f t="shared" si="2"/>
        <v>1.2301799632420138E-2</v>
      </c>
    </row>
    <row r="8" spans="1:8" x14ac:dyDescent="0.25">
      <c r="A8">
        <v>0.73385071137500002</v>
      </c>
      <c r="B8">
        <v>0.97736535425947157</v>
      </c>
      <c r="C8">
        <f t="shared" si="0"/>
        <v>0.8640039397820316</v>
      </c>
      <c r="D8">
        <f t="shared" si="1"/>
        <v>0.11336141447743997</v>
      </c>
      <c r="E8">
        <f t="shared" si="2"/>
        <v>1.2850810292325937E-2</v>
      </c>
    </row>
    <row r="9" spans="1:8" x14ac:dyDescent="0.25">
      <c r="A9">
        <v>0.79197523782500001</v>
      </c>
      <c r="B9">
        <v>1.0671013325819674</v>
      </c>
      <c r="C9">
        <f t="shared" si="0"/>
        <v>0.93079092439525579</v>
      </c>
      <c r="D9">
        <f t="shared" si="1"/>
        <v>0.13631040818671158</v>
      </c>
      <c r="E9">
        <f t="shared" si="2"/>
        <v>1.8580527380027929E-2</v>
      </c>
    </row>
    <row r="10" spans="1:8" x14ac:dyDescent="0.25">
      <c r="A10">
        <v>0.85009976427500011</v>
      </c>
      <c r="B10">
        <v>1.073588270773955</v>
      </c>
      <c r="C10">
        <f t="shared" si="0"/>
        <v>0.98153082596236407</v>
      </c>
      <c r="D10">
        <f t="shared" si="1"/>
        <v>9.2057444811590949E-2</v>
      </c>
      <c r="E10">
        <f t="shared" si="2"/>
        <v>8.4745731452391133E-3</v>
      </c>
    </row>
    <row r="11" spans="1:8" x14ac:dyDescent="0.25">
      <c r="A11">
        <v>0.90822429072499999</v>
      </c>
      <c r="B11">
        <v>1.2379240383043086</v>
      </c>
      <c r="C11">
        <f t="shared" si="0"/>
        <v>1.0137853471818294</v>
      </c>
      <c r="D11">
        <f t="shared" si="1"/>
        <v>0.22413869112247919</v>
      </c>
      <c r="E11">
        <f t="shared" si="2"/>
        <v>5.0238152858098135E-2</v>
      </c>
    </row>
    <row r="12" spans="1:8" x14ac:dyDescent="0.25">
      <c r="A12">
        <v>0.96634881717499999</v>
      </c>
      <c r="B12">
        <v>1.290900700205541</v>
      </c>
      <c r="C12">
        <f t="shared" si="0"/>
        <v>1.0259907826066099</v>
      </c>
      <c r="D12">
        <f t="shared" si="1"/>
        <v>0.26490991759893112</v>
      </c>
      <c r="E12">
        <f t="shared" si="2"/>
        <v>7.0177264442272472E-2</v>
      </c>
    </row>
    <row r="13" spans="1:8" x14ac:dyDescent="0.25">
      <c r="A13">
        <v>1.024473343625</v>
      </c>
      <c r="B13">
        <v>1.0854809907925989</v>
      </c>
      <c r="C13">
        <f t="shared" si="0"/>
        <v>1.0176011857962608</v>
      </c>
      <c r="D13">
        <f t="shared" si="1"/>
        <v>6.7879804996338056E-2</v>
      </c>
      <c r="E13">
        <f t="shared" si="2"/>
        <v>4.6076679263408809E-3</v>
      </c>
    </row>
    <row r="14" spans="1:8" x14ac:dyDescent="0.25">
      <c r="A14">
        <v>1.0825978700749999</v>
      </c>
      <c r="B14">
        <v>1.0022319506620909</v>
      </c>
      <c r="C14">
        <f t="shared" si="0"/>
        <v>0.98915582183050788</v>
      </c>
      <c r="D14">
        <f t="shared" si="1"/>
        <v>1.3076128831583045E-2</v>
      </c>
      <c r="E14">
        <f t="shared" si="2"/>
        <v>1.7098514522015737E-4</v>
      </c>
    </row>
    <row r="15" spans="1:8" x14ac:dyDescent="0.25">
      <c r="A15">
        <v>1.140722396525</v>
      </c>
      <c r="B15">
        <v>0.78167605213451097</v>
      </c>
      <c r="C15">
        <f t="shared" si="0"/>
        <v>0.94225799958737722</v>
      </c>
      <c r="D15">
        <f t="shared" si="1"/>
        <v>-0.16058194745286625</v>
      </c>
      <c r="E15">
        <f t="shared" si="2"/>
        <v>2.5786561847755098E-2</v>
      </c>
    </row>
    <row r="16" spans="1:8" x14ac:dyDescent="0.25">
      <c r="A16">
        <v>1.1988469229750001</v>
      </c>
      <c r="B16">
        <v>0.70599510656132181</v>
      </c>
      <c r="C16">
        <f t="shared" si="0"/>
        <v>0.87946222403315066</v>
      </c>
      <c r="D16">
        <f t="shared" si="1"/>
        <v>-0.17346711747182886</v>
      </c>
      <c r="E16">
        <f t="shared" si="2"/>
        <v>3.0090840843985271E-2</v>
      </c>
    </row>
    <row r="17" spans="1:5" x14ac:dyDescent="0.25">
      <c r="A17">
        <v>1.2569714494249999</v>
      </c>
      <c r="B17">
        <v>0.64004456827611411</v>
      </c>
      <c r="C17">
        <f t="shared" si="0"/>
        <v>0.80407781215596574</v>
      </c>
      <c r="D17">
        <f t="shared" si="1"/>
        <v>-0.16403324387985163</v>
      </c>
      <c r="E17">
        <f t="shared" si="2"/>
        <v>2.6906905097746882E-2</v>
      </c>
    </row>
    <row r="18" spans="1:5" x14ac:dyDescent="0.25">
      <c r="A18">
        <v>1.3150959758749998</v>
      </c>
      <c r="B18">
        <v>0.52111736808967402</v>
      </c>
      <c r="C18">
        <f t="shared" si="0"/>
        <v>0.71990797591727529</v>
      </c>
      <c r="D18">
        <f t="shared" si="1"/>
        <v>-0.19879060782760127</v>
      </c>
      <c r="E18">
        <f t="shared" si="2"/>
        <v>3.9517705760467169E-2</v>
      </c>
    </row>
    <row r="19" spans="1:5" x14ac:dyDescent="0.25">
      <c r="A19">
        <v>1.3732205023250001</v>
      </c>
      <c r="B19">
        <v>0.45841029890046009</v>
      </c>
      <c r="C19">
        <f t="shared" si="0"/>
        <v>0.63095206643877821</v>
      </c>
      <c r="D19">
        <f t="shared" si="1"/>
        <v>-0.17254176753831812</v>
      </c>
      <c r="E19">
        <f t="shared" si="2"/>
        <v>2.9770661545247011E-2</v>
      </c>
    </row>
    <row r="20" spans="1:5" x14ac:dyDescent="0.25">
      <c r="A20">
        <v>1.431345028775</v>
      </c>
      <c r="B20">
        <v>0.44219295342049098</v>
      </c>
      <c r="C20">
        <f t="shared" si="0"/>
        <v>0.54110361332017498</v>
      </c>
      <c r="D20">
        <f t="shared" si="1"/>
        <v>-9.8910659899684006E-2</v>
      </c>
      <c r="E20">
        <f t="shared" si="2"/>
        <v>9.7833186417909581E-3</v>
      </c>
    </row>
    <row r="21" spans="1:5" x14ac:dyDescent="0.25">
      <c r="A21">
        <v>1.4894695552249999</v>
      </c>
      <c r="B21">
        <v>0.36651200784730181</v>
      </c>
      <c r="C21">
        <f t="shared" si="0"/>
        <v>0.45387699765819028</v>
      </c>
      <c r="D21">
        <f t="shared" si="1"/>
        <v>-8.7364989810888471E-2</v>
      </c>
      <c r="E21">
        <f t="shared" si="2"/>
        <v>7.6326414446566465E-3</v>
      </c>
    </row>
    <row r="22" spans="1:5" x14ac:dyDescent="0.25">
      <c r="A22">
        <v>1.5475940816750002</v>
      </c>
      <c r="B22">
        <v>0.36759316421263311</v>
      </c>
      <c r="C22">
        <f t="shared" si="0"/>
        <v>0.37219093326945329</v>
      </c>
      <c r="D22">
        <f t="shared" si="1"/>
        <v>-4.597769056820189E-3</v>
      </c>
      <c r="E22">
        <f t="shared" si="2"/>
        <v>2.1139480299853209E-5</v>
      </c>
    </row>
    <row r="23" spans="1:5" x14ac:dyDescent="0.25">
      <c r="A23">
        <v>1.6057186081250001</v>
      </c>
      <c r="B23">
        <v>0.29839915683143159</v>
      </c>
      <c r="C23">
        <f t="shared" si="0"/>
        <v>0.29822818676238955</v>
      </c>
      <c r="D23">
        <f t="shared" si="1"/>
        <v>1.7097006904204237E-4</v>
      </c>
      <c r="E23">
        <f t="shared" si="2"/>
        <v>2.9230764508240735E-8</v>
      </c>
    </row>
    <row r="24" spans="1:5" x14ac:dyDescent="0.25">
      <c r="A24">
        <v>1.663843134575</v>
      </c>
      <c r="B24">
        <v>0.25947752767950572</v>
      </c>
      <c r="C24">
        <f t="shared" si="0"/>
        <v>0.23337971530720827</v>
      </c>
      <c r="D24">
        <f t="shared" si="1"/>
        <v>2.6097812372297441E-2</v>
      </c>
      <c r="E24">
        <f t="shared" si="2"/>
        <v>6.8109581061964134E-4</v>
      </c>
    </row>
    <row r="25" spans="1:5" x14ac:dyDescent="0.25">
      <c r="A25">
        <v>1.7219676610249999</v>
      </c>
      <c r="B25">
        <v>0.22812399308489878</v>
      </c>
      <c r="C25">
        <f t="shared" si="0"/>
        <v>0.17826966724016866</v>
      </c>
      <c r="D25">
        <f t="shared" si="1"/>
        <v>4.9854325844730124E-2</v>
      </c>
      <c r="E25">
        <f t="shared" si="2"/>
        <v>2.4854538054325261E-3</v>
      </c>
    </row>
    <row r="26" spans="1:5" x14ac:dyDescent="0.25">
      <c r="A26">
        <v>1.780092187475</v>
      </c>
      <c r="B26">
        <v>0.19460814575962929</v>
      </c>
      <c r="C26">
        <f t="shared" si="0"/>
        <v>0.1328475156213185</v>
      </c>
      <c r="D26">
        <f t="shared" si="1"/>
        <v>6.176063013831079E-2</v>
      </c>
      <c r="E26">
        <f t="shared" si="2"/>
        <v>3.8143754350812233E-3</v>
      </c>
    </row>
    <row r="27" spans="1:5" x14ac:dyDescent="0.25">
      <c r="A27">
        <v>1.8382167139250001</v>
      </c>
      <c r="B27">
        <v>0.16433576753035362</v>
      </c>
      <c r="C27">
        <f t="shared" si="0"/>
        <v>9.6526595661777917E-2</v>
      </c>
      <c r="D27">
        <f t="shared" si="1"/>
        <v>6.7809171868575699E-2</v>
      </c>
      <c r="E27">
        <f t="shared" si="2"/>
        <v>4.5980837895020377E-3</v>
      </c>
    </row>
    <row r="28" spans="1:5" x14ac:dyDescent="0.25">
      <c r="A28">
        <v>1.896341240375</v>
      </c>
      <c r="B28">
        <v>0.14055032749306559</v>
      </c>
      <c r="C28">
        <f t="shared" si="0"/>
        <v>6.8345364221855484E-2</v>
      </c>
      <c r="D28">
        <f t="shared" si="1"/>
        <v>7.2204963271210107E-2</v>
      </c>
      <c r="E28">
        <f t="shared" si="2"/>
        <v>5.2135567209968007E-3</v>
      </c>
    </row>
    <row r="29" spans="1:5" x14ac:dyDescent="0.25">
      <c r="A29">
        <v>1.9544657668249998</v>
      </c>
      <c r="B29">
        <v>8.649250922650191E-2</v>
      </c>
      <c r="C29">
        <f t="shared" si="0"/>
        <v>4.7128789953347953E-2</v>
      </c>
      <c r="D29">
        <f t="shared" si="1"/>
        <v>3.9363719273153956E-2</v>
      </c>
      <c r="E29">
        <f t="shared" si="2"/>
        <v>1.5495023950156722E-3</v>
      </c>
    </row>
    <row r="30" spans="1:5" x14ac:dyDescent="0.25">
      <c r="A30">
        <v>2.0125902932750002</v>
      </c>
      <c r="B30">
        <v>7.5680945573189167E-3</v>
      </c>
      <c r="C30">
        <f t="shared" si="0"/>
        <v>3.1631628722540349E-2</v>
      </c>
      <c r="D30">
        <f t="shared" si="1"/>
        <v>-2.4063534165221431E-2</v>
      </c>
      <c r="E30">
        <f t="shared" si="2"/>
        <v>5.7905367652077912E-4</v>
      </c>
    </row>
    <row r="31" spans="1:5" x14ac:dyDescent="0.25">
      <c r="A31">
        <v>2.0707148197249996</v>
      </c>
      <c r="B31">
        <v>0</v>
      </c>
      <c r="C31">
        <f t="shared" si="0"/>
        <v>2.0651636656949159E-2</v>
      </c>
      <c r="D31">
        <f t="shared" si="1"/>
        <v>-2.0651636656949159E-2</v>
      </c>
      <c r="E31">
        <f t="shared" si="2"/>
        <v>4.2649009661064626E-4</v>
      </c>
    </row>
    <row r="32" spans="1:5" x14ac:dyDescent="0.25">
      <c r="A32">
        <v>2.1288393461749999</v>
      </c>
      <c r="B32">
        <v>0</v>
      </c>
      <c r="C32">
        <f t="shared" si="0"/>
        <v>1.3107558933291691E-2</v>
      </c>
      <c r="D32">
        <f t="shared" si="1"/>
        <v>-1.3107558933291691E-2</v>
      </c>
      <c r="E32">
        <f t="shared" si="2"/>
        <v>1.718081011897148E-4</v>
      </c>
    </row>
    <row r="33" spans="1:5" x14ac:dyDescent="0.25">
      <c r="A33">
        <v>2.1869638726250002</v>
      </c>
      <c r="B33">
        <v>0</v>
      </c>
      <c r="C33">
        <f t="shared" si="0"/>
        <v>8.0827260304521965E-3</v>
      </c>
      <c r="D33">
        <f t="shared" si="1"/>
        <v>-8.0827260304521965E-3</v>
      </c>
      <c r="E33">
        <f t="shared" si="2"/>
        <v>6.5330460083349524E-5</v>
      </c>
    </row>
    <row r="34" spans="1:5" x14ac:dyDescent="0.25">
      <c r="A34">
        <v>2.2450883990749997</v>
      </c>
      <c r="B34">
        <v>0</v>
      </c>
      <c r="C34">
        <f t="shared" si="0"/>
        <v>4.8394352407632683E-3</v>
      </c>
      <c r="D34">
        <f t="shared" si="1"/>
        <v>-4.8394352407632683E-3</v>
      </c>
      <c r="E34">
        <f t="shared" si="2"/>
        <v>2.3420133449541432E-5</v>
      </c>
    </row>
    <row r="35" spans="1:5" x14ac:dyDescent="0.25">
      <c r="A35">
        <v>2.303212925525</v>
      </c>
      <c r="B35">
        <v>0</v>
      </c>
      <c r="C35">
        <f t="shared" si="0"/>
        <v>2.8116578202775177E-3</v>
      </c>
      <c r="D35">
        <f t="shared" si="1"/>
        <v>-2.8116578202775177E-3</v>
      </c>
      <c r="E35">
        <f t="shared" si="2"/>
        <v>7.905419698327722E-6</v>
      </c>
    </row>
    <row r="36" spans="1:5" x14ac:dyDescent="0.25">
      <c r="A36">
        <v>2.3613374519750003</v>
      </c>
      <c r="B36">
        <v>0</v>
      </c>
      <c r="C36">
        <f t="shared" si="0"/>
        <v>1.5841259174657356E-3</v>
      </c>
      <c r="D36">
        <f t="shared" si="1"/>
        <v>-1.5841259174657356E-3</v>
      </c>
      <c r="E36">
        <f t="shared" si="2"/>
        <v>2.5094549223866583E-6</v>
      </c>
    </row>
    <row r="37" spans="1:5" x14ac:dyDescent="0.25">
      <c r="A37">
        <v>2.4194619784249998</v>
      </c>
      <c r="B37">
        <v>0</v>
      </c>
      <c r="C37">
        <f t="shared" si="0"/>
        <v>8.6497468582964776E-4</v>
      </c>
      <c r="D37">
        <f t="shared" si="1"/>
        <v>-8.6497468582964776E-4</v>
      </c>
      <c r="E37">
        <f t="shared" si="2"/>
        <v>7.481812071260978E-7</v>
      </c>
    </row>
    <row r="38" spans="1:5" x14ac:dyDescent="0.25">
      <c r="A38">
        <v>2.4775865048750001</v>
      </c>
      <c r="B38">
        <v>0</v>
      </c>
      <c r="C38">
        <f t="shared" si="0"/>
        <v>4.5743487873411856E-4</v>
      </c>
      <c r="D38">
        <f t="shared" si="1"/>
        <v>-4.5743487873411856E-4</v>
      </c>
      <c r="E38">
        <f t="shared" si="2"/>
        <v>2.0924666828249775E-7</v>
      </c>
    </row>
    <row r="39" spans="1:5" x14ac:dyDescent="0.25">
      <c r="A39">
        <v>2.5357110313250004</v>
      </c>
      <c r="B39">
        <v>0</v>
      </c>
      <c r="C39">
        <f t="shared" si="0"/>
        <v>2.3414878439156084E-4</v>
      </c>
      <c r="D39">
        <f t="shared" si="1"/>
        <v>-2.3414878439156084E-4</v>
      </c>
      <c r="E39">
        <f t="shared" si="2"/>
        <v>5.4825653232045645E-8</v>
      </c>
    </row>
    <row r="40" spans="1:5" x14ac:dyDescent="0.25">
      <c r="A40">
        <v>2.5938355577749999</v>
      </c>
      <c r="B40">
        <v>1.0811563653312739E-3</v>
      </c>
      <c r="C40">
        <f t="shared" si="0"/>
        <v>1.1593507910249526E-4</v>
      </c>
      <c r="D40">
        <f t="shared" si="1"/>
        <v>9.6522128622877868E-4</v>
      </c>
      <c r="E40">
        <f t="shared" si="2"/>
        <v>9.3165213138913796E-7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A3B8-7F66-47CB-A326-88EE13AF99F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0.37491158188749996</v>
      </c>
      <c r="B1">
        <v>0.12057502251457113</v>
      </c>
      <c r="C1">
        <f>$H$3*(1+$H$1)*(A1^($H$1))*EXP(-$H$3*(A1^(1+$H$1)))</f>
        <v>0.24858098040969542</v>
      </c>
      <c r="D1">
        <f>B1-C1</f>
        <v>-0.12800595789512431</v>
      </c>
      <c r="E1">
        <f>D1^2</f>
        <v>1.6385525256648339E-2</v>
      </c>
      <c r="G1" t="s">
        <v>0</v>
      </c>
      <c r="H1">
        <v>2.2196013045583167</v>
      </c>
    </row>
    <row r="2" spans="1:8" x14ac:dyDescent="0.25">
      <c r="A2">
        <v>0.43015702366249997</v>
      </c>
      <c r="B2">
        <v>0.23318754354233096</v>
      </c>
      <c r="C2">
        <f t="shared" ref="C2:C40" si="0">$H$3*(1+$H$1)*(A2^($H$1))*EXP(-$H$3*(A2^(1+$H$1)))</f>
        <v>0.33171397283098353</v>
      </c>
      <c r="D2">
        <f t="shared" ref="D2:D40" si="1">B2-C2</f>
        <v>-9.8526429288652573E-2</v>
      </c>
      <c r="E2">
        <f t="shared" ref="E2:E40" si="2">D2^2</f>
        <v>9.7074572683718552E-3</v>
      </c>
    </row>
    <row r="3" spans="1:8" x14ac:dyDescent="0.25">
      <c r="A3">
        <v>0.48540246543750004</v>
      </c>
      <c r="B3">
        <v>0.34807506499489399</v>
      </c>
      <c r="C3">
        <f t="shared" si="0"/>
        <v>0.42427706730272868</v>
      </c>
      <c r="D3">
        <f t="shared" si="1"/>
        <v>-7.6202002307834693E-2</v>
      </c>
      <c r="E3">
        <f t="shared" si="2"/>
        <v>5.8067451557232436E-3</v>
      </c>
      <c r="G3" t="s">
        <v>1</v>
      </c>
      <c r="H3">
        <f>(_xlfn.GAMMA((2+$H$1)/(1+$H$1)))^(1+$H$1)</f>
        <v>0.70198153154302412</v>
      </c>
    </row>
    <row r="4" spans="1:8" x14ac:dyDescent="0.25">
      <c r="A4">
        <v>0.54064790721250011</v>
      </c>
      <c r="B4">
        <v>0.57216260683801201</v>
      </c>
      <c r="C4">
        <f t="shared" si="0"/>
        <v>0.52385651651356768</v>
      </c>
      <c r="D4">
        <f t="shared" si="1"/>
        <v>4.8306090324444328E-2</v>
      </c>
      <c r="E4">
        <f t="shared" si="2"/>
        <v>2.3334783624333741E-3</v>
      </c>
    </row>
    <row r="5" spans="1:8" x14ac:dyDescent="0.25">
      <c r="A5">
        <v>0.59589334898750002</v>
      </c>
      <c r="B5">
        <v>0.88952516609806243</v>
      </c>
      <c r="C5">
        <f t="shared" si="0"/>
        <v>0.62735803349065777</v>
      </c>
      <c r="D5">
        <f t="shared" si="1"/>
        <v>0.26216713260740465</v>
      </c>
      <c r="E5">
        <f t="shared" si="2"/>
        <v>6.873160541958849E-2</v>
      </c>
      <c r="G5" t="s">
        <v>2</v>
      </c>
      <c r="H5">
        <f>SUM(E1:E40)</f>
        <v>0.53677885742284248</v>
      </c>
    </row>
    <row r="6" spans="1:8" x14ac:dyDescent="0.25">
      <c r="A6">
        <v>0.65113879076249992</v>
      </c>
      <c r="B6">
        <v>0.91113767013369318</v>
      </c>
      <c r="C6">
        <f t="shared" si="0"/>
        <v>0.73107198403665308</v>
      </c>
      <c r="D6">
        <f t="shared" si="1"/>
        <v>0.1800656860970401</v>
      </c>
      <c r="E6">
        <f t="shared" si="2"/>
        <v>3.2423651309597783E-2</v>
      </c>
    </row>
    <row r="7" spans="1:8" x14ac:dyDescent="0.25">
      <c r="A7">
        <v>0.70638423253750005</v>
      </c>
      <c r="B7">
        <v>1.003275187338224</v>
      </c>
      <c r="C7">
        <f t="shared" si="0"/>
        <v>0.83080594961541609</v>
      </c>
      <c r="D7">
        <f t="shared" si="1"/>
        <v>0.17246923772280787</v>
      </c>
      <c r="E7">
        <f t="shared" si="2"/>
        <v>2.9745637960686411E-2</v>
      </c>
    </row>
    <row r="8" spans="1:8" x14ac:dyDescent="0.25">
      <c r="A8">
        <v>0.76162967431250006</v>
      </c>
      <c r="B8">
        <v>1.0544626968962965</v>
      </c>
      <c r="C8">
        <f t="shared" si="0"/>
        <v>0.92208799782149564</v>
      </c>
      <c r="D8">
        <f t="shared" si="1"/>
        <v>0.13237469907480082</v>
      </c>
      <c r="E8">
        <f t="shared" si="2"/>
        <v>1.7523060955144071E-2</v>
      </c>
    </row>
    <row r="9" spans="1:8" x14ac:dyDescent="0.25">
      <c r="A9">
        <v>0.81687511608750007</v>
      </c>
      <c r="B9">
        <v>1.1534252153752371</v>
      </c>
      <c r="C9">
        <f t="shared" si="0"/>
        <v>1.0004352025143122</v>
      </c>
      <c r="D9">
        <f t="shared" si="1"/>
        <v>0.15299001286092495</v>
      </c>
      <c r="E9">
        <f t="shared" si="2"/>
        <v>2.3405944035185981E-2</v>
      </c>
    </row>
    <row r="10" spans="1:8" x14ac:dyDescent="0.25">
      <c r="A10">
        <v>0.87212055786249998</v>
      </c>
      <c r="B10">
        <v>1.1818627206852774</v>
      </c>
      <c r="C10">
        <f t="shared" si="0"/>
        <v>1.0616715967168622</v>
      </c>
      <c r="D10">
        <f t="shared" si="1"/>
        <v>0.12019112396841525</v>
      </c>
      <c r="E10">
        <f t="shared" si="2"/>
        <v>1.4445906280790963E-2</v>
      </c>
    </row>
    <row r="11" spans="1:8" x14ac:dyDescent="0.25">
      <c r="A11">
        <v>0.9273659996375001</v>
      </c>
      <c r="B11">
        <v>1.318362746173471</v>
      </c>
      <c r="C11">
        <f t="shared" si="0"/>
        <v>1.1022691274531811</v>
      </c>
      <c r="D11">
        <f t="shared" si="1"/>
        <v>0.21609361872028998</v>
      </c>
      <c r="E11">
        <f t="shared" si="2"/>
        <v>4.6696452051630061E-2</v>
      </c>
    </row>
    <row r="12" spans="1:8" x14ac:dyDescent="0.25">
      <c r="A12">
        <v>0.98261144141250001</v>
      </c>
      <c r="B12">
        <v>1.3138127453238646</v>
      </c>
      <c r="C12">
        <f t="shared" si="0"/>
        <v>1.1196761524604493</v>
      </c>
      <c r="D12">
        <f t="shared" si="1"/>
        <v>0.19413659286341534</v>
      </c>
      <c r="E12">
        <f t="shared" si="2"/>
        <v>3.768901668861549E-2</v>
      </c>
    </row>
    <row r="13" spans="1:8" x14ac:dyDescent="0.25">
      <c r="A13">
        <v>1.0378568831875001</v>
      </c>
      <c r="B13">
        <v>1.2376002310929566</v>
      </c>
      <c r="C13">
        <f t="shared" si="0"/>
        <v>1.1125926745704349</v>
      </c>
      <c r="D13">
        <f t="shared" si="1"/>
        <v>0.12500755652252171</v>
      </c>
      <c r="E13">
        <f t="shared" si="2"/>
        <v>1.562688918773146E-2</v>
      </c>
    </row>
    <row r="14" spans="1:8" x14ac:dyDescent="0.25">
      <c r="A14">
        <v>1.0931023249625</v>
      </c>
      <c r="B14">
        <v>1.0066876879754287</v>
      </c>
      <c r="C14">
        <f t="shared" si="0"/>
        <v>1.0811517832738895</v>
      </c>
      <c r="D14">
        <f t="shared" si="1"/>
        <v>-7.4464095298460764E-2</v>
      </c>
      <c r="E14">
        <f t="shared" si="2"/>
        <v>5.5449014886182462E-3</v>
      </c>
    </row>
    <row r="15" spans="1:8" x14ac:dyDescent="0.25">
      <c r="A15">
        <v>1.1483477667374999</v>
      </c>
      <c r="B15">
        <v>0.90886266970888996</v>
      </c>
      <c r="C15">
        <f t="shared" si="0"/>
        <v>1.0269739033823819</v>
      </c>
      <c r="D15">
        <f t="shared" si="1"/>
        <v>-0.11811123367349197</v>
      </c>
      <c r="E15">
        <f t="shared" si="2"/>
        <v>1.3950263519874223E-2</v>
      </c>
    </row>
    <row r="16" spans="1:8" x14ac:dyDescent="0.25">
      <c r="A16">
        <v>1.2035932085124998</v>
      </c>
      <c r="B16">
        <v>0.77691264507030267</v>
      </c>
      <c r="C16">
        <f t="shared" si="0"/>
        <v>0.95307447893812403</v>
      </c>
      <c r="D16">
        <f t="shared" si="1"/>
        <v>-0.17616183386782136</v>
      </c>
      <c r="E16">
        <f t="shared" si="2"/>
        <v>3.1032991711673893E-2</v>
      </c>
    </row>
    <row r="17" spans="1:5" x14ac:dyDescent="0.25">
      <c r="A17">
        <v>1.2588386502875</v>
      </c>
      <c r="B17">
        <v>0.61311261448447019</v>
      </c>
      <c r="C17">
        <f t="shared" si="0"/>
        <v>0.86362516810484102</v>
      </c>
      <c r="D17">
        <f t="shared" si="1"/>
        <v>-0.25051255362037084</v>
      </c>
      <c r="E17">
        <f t="shared" si="2"/>
        <v>6.2756539521399174E-2</v>
      </c>
    </row>
    <row r="18" spans="1:5" x14ac:dyDescent="0.25">
      <c r="A18">
        <v>1.3140840920625001</v>
      </c>
      <c r="B18">
        <v>0.56875010620080724</v>
      </c>
      <c r="C18">
        <f t="shared" si="0"/>
        <v>0.76359050740775725</v>
      </c>
      <c r="D18">
        <f t="shared" si="1"/>
        <v>-0.19484040120695001</v>
      </c>
      <c r="E18">
        <f t="shared" si="2"/>
        <v>3.7962781942485244E-2</v>
      </c>
    </row>
    <row r="19" spans="1:5" x14ac:dyDescent="0.25">
      <c r="A19">
        <v>1.3693295338375</v>
      </c>
      <c r="B19">
        <v>0.54258760131557005</v>
      </c>
      <c r="C19">
        <f t="shared" si="0"/>
        <v>0.65828227112885662</v>
      </c>
      <c r="D19">
        <f t="shared" si="1"/>
        <v>-0.11569466981328658</v>
      </c>
      <c r="E19">
        <f t="shared" si="2"/>
        <v>1.3385256623205404E-2</v>
      </c>
    </row>
    <row r="20" spans="1:5" x14ac:dyDescent="0.25">
      <c r="A20">
        <v>1.4245749756124999</v>
      </c>
      <c r="B20">
        <v>0.40495007561497476</v>
      </c>
      <c r="C20">
        <f t="shared" si="0"/>
        <v>0.55288812538226351</v>
      </c>
      <c r="D20">
        <f t="shared" si="1"/>
        <v>-0.14793804976728875</v>
      </c>
      <c r="E20">
        <f t="shared" si="2"/>
        <v>2.1885666568948803E-2</v>
      </c>
    </row>
    <row r="21" spans="1:5" x14ac:dyDescent="0.25">
      <c r="A21">
        <v>1.4798204173875003</v>
      </c>
      <c r="B21">
        <v>0.37196256945532791</v>
      </c>
      <c r="C21">
        <f t="shared" si="0"/>
        <v>0.45203621334155614</v>
      </c>
      <c r="D21">
        <f t="shared" si="1"/>
        <v>-8.007364388622823E-2</v>
      </c>
      <c r="E21">
        <f t="shared" si="2"/>
        <v>6.4117884452184956E-3</v>
      </c>
    </row>
    <row r="22" spans="1:5" x14ac:dyDescent="0.25">
      <c r="A22">
        <v>1.5350658591625002</v>
      </c>
      <c r="B22">
        <v>0.38561257200414728</v>
      </c>
      <c r="C22">
        <f t="shared" si="0"/>
        <v>0.35945140033627282</v>
      </c>
      <c r="D22">
        <f t="shared" si="1"/>
        <v>2.6161171667874461E-2</v>
      </c>
      <c r="E22">
        <f t="shared" si="2"/>
        <v>6.8440690303599736E-4</v>
      </c>
    </row>
    <row r="23" spans="1:5" x14ac:dyDescent="0.25">
      <c r="A23">
        <v>1.5903113009375001</v>
      </c>
      <c r="B23">
        <v>0.28323755288800201</v>
      </c>
      <c r="C23">
        <f t="shared" si="0"/>
        <v>0.2777428897729094</v>
      </c>
      <c r="D23">
        <f t="shared" si="1"/>
        <v>5.4946631150926128E-3</v>
      </c>
      <c r="E23">
        <f t="shared" si="2"/>
        <v>3.0191322748359257E-5</v>
      </c>
    </row>
    <row r="24" spans="1:5" x14ac:dyDescent="0.25">
      <c r="A24">
        <v>1.6455567427125</v>
      </c>
      <c r="B24">
        <v>0.2604875486399697</v>
      </c>
      <c r="C24">
        <f t="shared" si="0"/>
        <v>0.20834003578943661</v>
      </c>
      <c r="D24">
        <f t="shared" si="1"/>
        <v>5.2147512850533095E-2</v>
      </c>
      <c r="E24">
        <f t="shared" si="2"/>
        <v>2.7193630964965142E-3</v>
      </c>
    </row>
    <row r="25" spans="1:5" x14ac:dyDescent="0.25">
      <c r="A25">
        <v>1.7008021844875003</v>
      </c>
      <c r="B25">
        <v>0.23660004417953581</v>
      </c>
      <c r="C25">
        <f t="shared" si="0"/>
        <v>0.15156833773579168</v>
      </c>
      <c r="D25">
        <f t="shared" si="1"/>
        <v>8.5031706443744137E-2</v>
      </c>
      <c r="E25">
        <f t="shared" si="2"/>
        <v>7.2303911007350783E-3</v>
      </c>
    </row>
    <row r="26" spans="1:5" x14ac:dyDescent="0.25">
      <c r="A26">
        <v>1.7560476262625002</v>
      </c>
      <c r="B26">
        <v>0.16493753079823409</v>
      </c>
      <c r="C26">
        <f t="shared" si="0"/>
        <v>0.10683611882620345</v>
      </c>
      <c r="D26">
        <f t="shared" si="1"/>
        <v>5.8101411972030642E-2</v>
      </c>
      <c r="E26">
        <f t="shared" si="2"/>
        <v>3.3757740731436255E-3</v>
      </c>
    </row>
    <row r="27" spans="1:5" x14ac:dyDescent="0.25">
      <c r="A27">
        <v>1.8112930680375001</v>
      </c>
      <c r="B27">
        <v>0.15356252867421794</v>
      </c>
      <c r="C27">
        <f t="shared" si="0"/>
        <v>7.288856808863188E-2</v>
      </c>
      <c r="D27">
        <f t="shared" si="1"/>
        <v>8.0673960585586055E-2</v>
      </c>
      <c r="E27">
        <f t="shared" si="2"/>
        <v>6.508287916564692E-3</v>
      </c>
    </row>
    <row r="28" spans="1:5" x14ac:dyDescent="0.25">
      <c r="A28">
        <v>1.8665385098125</v>
      </c>
      <c r="B28">
        <v>8.4175015717719473E-2</v>
      </c>
      <c r="C28">
        <f t="shared" si="0"/>
        <v>4.8081840979444984E-2</v>
      </c>
      <c r="D28">
        <f t="shared" si="1"/>
        <v>3.6093174738274489E-2</v>
      </c>
      <c r="E28">
        <f t="shared" si="2"/>
        <v>1.3027172626876157E-3</v>
      </c>
    </row>
    <row r="29" spans="1:5" x14ac:dyDescent="0.25">
      <c r="A29">
        <v>1.9217839515874999</v>
      </c>
      <c r="B29">
        <v>0</v>
      </c>
      <c r="C29">
        <f t="shared" si="0"/>
        <v>3.0635383518492612E-2</v>
      </c>
      <c r="D29">
        <f t="shared" si="1"/>
        <v>-3.0635383518492612E-2</v>
      </c>
      <c r="E29">
        <f t="shared" si="2"/>
        <v>9.3852672332512882E-4</v>
      </c>
    </row>
    <row r="30" spans="1:5" x14ac:dyDescent="0.25">
      <c r="A30">
        <v>1.9770293933624998</v>
      </c>
      <c r="B30">
        <v>0</v>
      </c>
      <c r="C30">
        <f t="shared" si="0"/>
        <v>1.8832958052799754E-2</v>
      </c>
      <c r="D30">
        <f t="shared" si="1"/>
        <v>-1.8832958052799754E-2</v>
      </c>
      <c r="E30">
        <f t="shared" si="2"/>
        <v>3.5468030901851511E-4</v>
      </c>
    </row>
    <row r="31" spans="1:5" x14ac:dyDescent="0.25">
      <c r="A31">
        <v>2.0322748351374997</v>
      </c>
      <c r="B31">
        <v>0</v>
      </c>
      <c r="C31">
        <f t="shared" si="0"/>
        <v>1.1158143278043554E-2</v>
      </c>
      <c r="D31">
        <f t="shared" si="1"/>
        <v>-1.1158143278043554E-2</v>
      </c>
      <c r="E31">
        <f t="shared" si="2"/>
        <v>1.2450416141334856E-4</v>
      </c>
    </row>
    <row r="32" spans="1:5" x14ac:dyDescent="0.25">
      <c r="A32">
        <v>2.0875202769125001</v>
      </c>
      <c r="B32">
        <v>0</v>
      </c>
      <c r="C32">
        <f t="shared" si="0"/>
        <v>6.3644659809114655E-3</v>
      </c>
      <c r="D32">
        <f t="shared" si="1"/>
        <v>-6.3644659809114655E-3</v>
      </c>
      <c r="E32">
        <f t="shared" si="2"/>
        <v>4.050642722217934E-5</v>
      </c>
    </row>
    <row r="33" spans="1:5" x14ac:dyDescent="0.25">
      <c r="A33">
        <v>2.1427657186875</v>
      </c>
      <c r="B33">
        <v>0</v>
      </c>
      <c r="C33">
        <f t="shared" si="0"/>
        <v>3.490927410109184E-3</v>
      </c>
      <c r="D33">
        <f t="shared" si="1"/>
        <v>-3.490927410109184E-3</v>
      </c>
      <c r="E33">
        <f t="shared" si="2"/>
        <v>1.2186574182651615E-5</v>
      </c>
    </row>
    <row r="34" spans="1:5" x14ac:dyDescent="0.25">
      <c r="A34">
        <v>2.1980111604624999</v>
      </c>
      <c r="B34">
        <v>0</v>
      </c>
      <c r="C34">
        <f t="shared" si="0"/>
        <v>1.8392245168743064E-3</v>
      </c>
      <c r="D34">
        <f t="shared" si="1"/>
        <v>-1.8392245168743064E-3</v>
      </c>
      <c r="E34">
        <f t="shared" si="2"/>
        <v>3.3827468234715258E-6</v>
      </c>
    </row>
    <row r="35" spans="1:5" x14ac:dyDescent="0.25">
      <c r="A35">
        <v>2.2532566022375002</v>
      </c>
      <c r="B35">
        <v>0</v>
      </c>
      <c r="C35">
        <f t="shared" si="0"/>
        <v>9.2970349573401356E-4</v>
      </c>
      <c r="D35">
        <f t="shared" si="1"/>
        <v>-9.2970349573401356E-4</v>
      </c>
      <c r="E35">
        <f t="shared" si="2"/>
        <v>8.6434858998004496E-7</v>
      </c>
    </row>
    <row r="36" spans="1:5" x14ac:dyDescent="0.25">
      <c r="A36">
        <v>2.3085020440125001</v>
      </c>
      <c r="B36">
        <v>0</v>
      </c>
      <c r="C36">
        <f t="shared" si="0"/>
        <v>4.5036581846279525E-4</v>
      </c>
      <c r="D36">
        <f t="shared" si="1"/>
        <v>-4.5036581846279525E-4</v>
      </c>
      <c r="E36">
        <f t="shared" si="2"/>
        <v>2.0282937043966345E-7</v>
      </c>
    </row>
    <row r="37" spans="1:5" x14ac:dyDescent="0.25">
      <c r="A37">
        <v>2.3637474857875</v>
      </c>
      <c r="B37">
        <v>0</v>
      </c>
      <c r="C37">
        <f t="shared" si="0"/>
        <v>2.0882769522315124E-4</v>
      </c>
      <c r="D37">
        <f t="shared" si="1"/>
        <v>-2.0882769522315124E-4</v>
      </c>
      <c r="E37">
        <f t="shared" si="2"/>
        <v>4.3609006292213343E-8</v>
      </c>
    </row>
    <row r="38" spans="1:5" x14ac:dyDescent="0.25">
      <c r="A38">
        <v>2.4189929275625</v>
      </c>
      <c r="B38">
        <v>0</v>
      </c>
      <c r="C38">
        <f t="shared" si="0"/>
        <v>9.257596146625721E-5</v>
      </c>
      <c r="D38">
        <f t="shared" si="1"/>
        <v>-9.257596146625721E-5</v>
      </c>
      <c r="E38">
        <f t="shared" si="2"/>
        <v>8.5703086414019405E-9</v>
      </c>
    </row>
    <row r="39" spans="1:5" x14ac:dyDescent="0.25">
      <c r="A39">
        <v>2.4742383693374999</v>
      </c>
      <c r="B39">
        <v>0</v>
      </c>
      <c r="C39">
        <f t="shared" si="0"/>
        <v>3.9190162783467528E-5</v>
      </c>
      <c r="D39">
        <f t="shared" si="1"/>
        <v>-3.9190162783467528E-5</v>
      </c>
      <c r="E39">
        <f t="shared" si="2"/>
        <v>1.5358688589946832E-9</v>
      </c>
    </row>
    <row r="40" spans="1:5" x14ac:dyDescent="0.25">
      <c r="A40">
        <v>2.5294838111125002</v>
      </c>
      <c r="B40">
        <v>1.1375002124016144E-3</v>
      </c>
      <c r="C40">
        <f t="shared" si="0"/>
        <v>1.5823463071972878E-5</v>
      </c>
      <c r="D40">
        <f t="shared" si="1"/>
        <v>1.1216767493296416E-3</v>
      </c>
      <c r="E40">
        <f t="shared" si="2"/>
        <v>1.2581587299867116E-6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CDC7-E8B3-4DD4-9CEA-3ABF7A66C0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0.43111361867500003</v>
      </c>
      <c r="B1">
        <v>0.12787436094626239</v>
      </c>
      <c r="C1">
        <f>$H$3*(1+$H$1)*(A1^($H$1))*EXP(-$H$3*(A1^(1+$H$1)))</f>
        <v>0.26711341414382472</v>
      </c>
      <c r="D1">
        <f>B1-C1</f>
        <v>-0.13923905319756233</v>
      </c>
      <c r="E1">
        <f>D1^2</f>
        <v>1.9387513935353592E-2</v>
      </c>
      <c r="G1" t="s">
        <v>0</v>
      </c>
      <c r="H1">
        <v>2.6090623042719545</v>
      </c>
    </row>
    <row r="2" spans="1:8" x14ac:dyDescent="0.25">
      <c r="A2">
        <v>0.48320553402500005</v>
      </c>
      <c r="B2">
        <v>0.2666059789539999</v>
      </c>
      <c r="C2">
        <f t="shared" ref="C2:C40" si="0">$H$3*(1+$H$1)*(A2^($H$1))*EXP(-$H$3*(A2^(1+$H$1)))</f>
        <v>0.3537154600869995</v>
      </c>
      <c r="D2">
        <f t="shared" ref="D2:D40" si="1">B2-C2</f>
        <v>-8.71094811329996E-2</v>
      </c>
      <c r="E2">
        <f t="shared" ref="E2:E40" si="2">D2^2</f>
        <v>7.5880617032604136E-3</v>
      </c>
    </row>
    <row r="3" spans="1:8" x14ac:dyDescent="0.25">
      <c r="A3">
        <v>0.53529744937500001</v>
      </c>
      <c r="B3">
        <v>0.37879763525590937</v>
      </c>
      <c r="C3">
        <f t="shared" si="0"/>
        <v>0.45185448588322635</v>
      </c>
      <c r="D3">
        <f t="shared" si="1"/>
        <v>-7.3056850627316983E-2</v>
      </c>
      <c r="E3">
        <f t="shared" si="2"/>
        <v>5.3373034235821059E-3</v>
      </c>
      <c r="G3" t="s">
        <v>1</v>
      </c>
      <c r="H3">
        <f>(_xlfn.GAMMA((2+$H$1)/(1+$H$1)))^(1+$H$1)</f>
        <v>0.68706224381459791</v>
      </c>
    </row>
    <row r="4" spans="1:8" x14ac:dyDescent="0.25">
      <c r="A4">
        <v>0.58738936472500014</v>
      </c>
      <c r="B4">
        <v>0.62489546198267854</v>
      </c>
      <c r="C4">
        <f t="shared" si="0"/>
        <v>0.55946136878411923</v>
      </c>
      <c r="D4">
        <f t="shared" si="1"/>
        <v>6.5434093198559307E-2</v>
      </c>
      <c r="E4">
        <f t="shared" si="2"/>
        <v>4.2816205527177456E-3</v>
      </c>
    </row>
    <row r="5" spans="1:8" x14ac:dyDescent="0.25">
      <c r="A5">
        <v>0.63948128007500005</v>
      </c>
      <c r="B5">
        <v>0.95423225951409019</v>
      </c>
      <c r="C5">
        <f t="shared" si="0"/>
        <v>0.67352518774020398</v>
      </c>
      <c r="D5">
        <f t="shared" si="1"/>
        <v>0.28070707177388621</v>
      </c>
      <c r="E5">
        <f t="shared" si="2"/>
        <v>7.8796460143869707E-2</v>
      </c>
      <c r="G5" t="s">
        <v>2</v>
      </c>
      <c r="H5">
        <f>SUM(E1:E40)</f>
        <v>0.63419894911768515</v>
      </c>
    </row>
    <row r="6" spans="1:8" x14ac:dyDescent="0.25">
      <c r="A6">
        <v>0.69157319542500006</v>
      </c>
      <c r="B6">
        <v>0.99283584017711279</v>
      </c>
      <c r="C6">
        <f t="shared" si="0"/>
        <v>0.79009311830579321</v>
      </c>
      <c r="D6">
        <f t="shared" si="1"/>
        <v>0.20274272187131959</v>
      </c>
      <c r="E6">
        <f t="shared" si="2"/>
        <v>4.1104611271791248E-2</v>
      </c>
    </row>
    <row r="7" spans="1:8" x14ac:dyDescent="0.25">
      <c r="A7">
        <v>0.74366511077500008</v>
      </c>
      <c r="B7">
        <v>1.1508692485163616</v>
      </c>
      <c r="C7">
        <f t="shared" si="0"/>
        <v>0.90436053001244643</v>
      </c>
      <c r="D7">
        <f t="shared" si="1"/>
        <v>0.2465087185039152</v>
      </c>
      <c r="E7">
        <f t="shared" si="2"/>
        <v>6.0766548298442503E-2</v>
      </c>
    </row>
    <row r="8" spans="1:8" x14ac:dyDescent="0.25">
      <c r="A8">
        <v>0.79575702612499999</v>
      </c>
      <c r="B8">
        <v>1.170171038847873</v>
      </c>
      <c r="C8">
        <f t="shared" si="0"/>
        <v>1.0108704223729608</v>
      </c>
      <c r="D8">
        <f t="shared" si="1"/>
        <v>0.15930061647491223</v>
      </c>
      <c r="E8">
        <f t="shared" si="2"/>
        <v>2.5376686409287075E-2</v>
      </c>
    </row>
    <row r="9" spans="1:8" x14ac:dyDescent="0.25">
      <c r="A9">
        <v>0.84784894147500012</v>
      </c>
      <c r="B9">
        <v>1.2944263141069769</v>
      </c>
      <c r="C9">
        <f t="shared" si="0"/>
        <v>1.1038306837447363</v>
      </c>
      <c r="D9">
        <f t="shared" si="1"/>
        <v>0.1905956303622407</v>
      </c>
      <c r="E9">
        <f t="shared" si="2"/>
        <v>3.6326694313179891E-2</v>
      </c>
    </row>
    <row r="10" spans="1:8" x14ac:dyDescent="0.25">
      <c r="A10">
        <v>0.89994085682500002</v>
      </c>
      <c r="B10">
        <v>1.3161408282299272</v>
      </c>
      <c r="C10">
        <f t="shared" si="0"/>
        <v>1.1775414354007017</v>
      </c>
      <c r="D10">
        <f t="shared" si="1"/>
        <v>0.13859939282922551</v>
      </c>
      <c r="E10">
        <f t="shared" si="2"/>
        <v>1.9209791692629968E-2</v>
      </c>
    </row>
    <row r="11" spans="1:8" x14ac:dyDescent="0.25">
      <c r="A11">
        <v>0.95203277217500004</v>
      </c>
      <c r="B11">
        <v>1.4138561417832032</v>
      </c>
      <c r="C11">
        <f t="shared" si="0"/>
        <v>1.2269041358245605</v>
      </c>
      <c r="D11">
        <f t="shared" si="1"/>
        <v>0.1869520059586427</v>
      </c>
      <c r="E11">
        <f t="shared" si="2"/>
        <v>3.4951052531960375E-2</v>
      </c>
    </row>
    <row r="12" spans="1:8" x14ac:dyDescent="0.25">
      <c r="A12">
        <v>1.0041246875250001</v>
      </c>
      <c r="B12">
        <v>1.4693487889862982</v>
      </c>
      <c r="C12">
        <f t="shared" si="0"/>
        <v>1.2479620386383512</v>
      </c>
      <c r="D12">
        <f t="shared" si="1"/>
        <v>0.22138675034794697</v>
      </c>
      <c r="E12">
        <f t="shared" si="2"/>
        <v>4.9012093229624201E-2</v>
      </c>
    </row>
    <row r="13" spans="1:8" x14ac:dyDescent="0.25">
      <c r="A13">
        <v>1.0562166028750002</v>
      </c>
      <c r="B13">
        <v>1.2148064289894929</v>
      </c>
      <c r="C13">
        <f t="shared" si="0"/>
        <v>1.238402498249384</v>
      </c>
      <c r="D13">
        <f t="shared" si="1"/>
        <v>-2.3596069259891106E-2</v>
      </c>
      <c r="E13">
        <f t="shared" si="2"/>
        <v>5.5677448451757797E-4</v>
      </c>
    </row>
    <row r="14" spans="1:8" x14ac:dyDescent="0.25">
      <c r="A14">
        <v>1.1083085182250001</v>
      </c>
      <c r="B14">
        <v>1.178615572117909</v>
      </c>
      <c r="C14">
        <f t="shared" si="0"/>
        <v>1.1979409611385938</v>
      </c>
      <c r="D14">
        <f t="shared" si="1"/>
        <v>-1.9325389020684813E-2</v>
      </c>
      <c r="E14">
        <f t="shared" si="2"/>
        <v>3.7347066080080512E-4</v>
      </c>
    </row>
    <row r="15" spans="1:8" x14ac:dyDescent="0.25">
      <c r="A15">
        <v>1.160400433575</v>
      </c>
      <c r="B15">
        <v>0.94578772624405394</v>
      </c>
      <c r="C15">
        <f t="shared" si="0"/>
        <v>1.1285094707421923</v>
      </c>
      <c r="D15">
        <f t="shared" si="1"/>
        <v>-0.18272174449813838</v>
      </c>
      <c r="E15">
        <f t="shared" si="2"/>
        <v>3.3387235912442963E-2</v>
      </c>
    </row>
    <row r="16" spans="1:8" x14ac:dyDescent="0.25">
      <c r="A16">
        <v>1.2124923489250001</v>
      </c>
      <c r="B16">
        <v>0.83842151752502236</v>
      </c>
      <c r="C16">
        <f t="shared" si="0"/>
        <v>1.0341923961440731</v>
      </c>
      <c r="D16">
        <f t="shared" si="1"/>
        <v>-0.19577087861905074</v>
      </c>
      <c r="E16">
        <f t="shared" si="2"/>
        <v>3.8326236915275098E-2</v>
      </c>
    </row>
    <row r="17" spans="1:5" x14ac:dyDescent="0.25">
      <c r="A17">
        <v>1.2645842642750003</v>
      </c>
      <c r="B17">
        <v>0.63575271904415365</v>
      </c>
      <c r="C17">
        <f t="shared" si="0"/>
        <v>0.92088844242981738</v>
      </c>
      <c r="D17">
        <f t="shared" si="1"/>
        <v>-0.28513572338566373</v>
      </c>
      <c r="E17">
        <f t="shared" si="2"/>
        <v>8.1302380750665745E-2</v>
      </c>
    </row>
    <row r="18" spans="1:5" x14ac:dyDescent="0.25">
      <c r="A18">
        <v>1.3166761796249999</v>
      </c>
      <c r="B18">
        <v>0.61283184302548399</v>
      </c>
      <c r="C18">
        <f t="shared" si="0"/>
        <v>0.79572563935191498</v>
      </c>
      <c r="D18">
        <f t="shared" si="1"/>
        <v>-0.18289379632643099</v>
      </c>
      <c r="E18">
        <f t="shared" si="2"/>
        <v>3.3450140734694024E-2</v>
      </c>
    </row>
    <row r="19" spans="1:5" x14ac:dyDescent="0.25">
      <c r="A19">
        <v>1.3687680949750001</v>
      </c>
      <c r="B19">
        <v>0.4982274629321356</v>
      </c>
      <c r="C19">
        <f t="shared" si="0"/>
        <v>0.66630525533719687</v>
      </c>
      <c r="D19">
        <f t="shared" si="1"/>
        <v>-0.16807779240506127</v>
      </c>
      <c r="E19">
        <f t="shared" si="2"/>
        <v>2.8250144299758872E-2</v>
      </c>
    </row>
    <row r="20" spans="1:5" x14ac:dyDescent="0.25">
      <c r="A20">
        <v>1.420860010325</v>
      </c>
      <c r="B20">
        <v>0.43429028245900436</v>
      </c>
      <c r="C20">
        <f t="shared" si="0"/>
        <v>0.53988919811606206</v>
      </c>
      <c r="D20">
        <f t="shared" si="1"/>
        <v>-0.1055989156570577</v>
      </c>
      <c r="E20">
        <f t="shared" si="2"/>
        <v>1.1151130987946387E-2</v>
      </c>
    </row>
    <row r="21" spans="1:5" x14ac:dyDescent="0.25">
      <c r="A21">
        <v>1.4729519256750001</v>
      </c>
      <c r="B21">
        <v>0.44635390141619896</v>
      </c>
      <c r="C21">
        <f t="shared" si="0"/>
        <v>0.42266203400379793</v>
      </c>
      <c r="D21">
        <f t="shared" si="1"/>
        <v>2.3691867412401035E-2</v>
      </c>
      <c r="E21">
        <f t="shared" si="2"/>
        <v>5.6130458148679013E-4</v>
      </c>
    </row>
    <row r="22" spans="1:5" x14ac:dyDescent="0.25">
      <c r="A22">
        <v>1.525043841025</v>
      </c>
      <c r="B22">
        <v>0.32089226426137546</v>
      </c>
      <c r="C22">
        <f t="shared" si="0"/>
        <v>0.31918664595201868</v>
      </c>
      <c r="D22">
        <f t="shared" si="1"/>
        <v>1.7056183093567823E-3</v>
      </c>
      <c r="E22">
        <f t="shared" si="2"/>
        <v>2.9091338172130881E-6</v>
      </c>
    </row>
    <row r="23" spans="1:5" x14ac:dyDescent="0.25">
      <c r="A23">
        <v>1.5771357563750001</v>
      </c>
      <c r="B23">
        <v>0.28952685497266961</v>
      </c>
      <c r="C23">
        <f t="shared" si="0"/>
        <v>0.23213286232384966</v>
      </c>
      <c r="D23">
        <f t="shared" si="1"/>
        <v>5.7393992648819947E-2</v>
      </c>
      <c r="E23">
        <f t="shared" si="2"/>
        <v>3.2940703921727982E-3</v>
      </c>
    </row>
    <row r="24" spans="1:5" x14ac:dyDescent="0.25">
      <c r="A24">
        <v>1.629227671725</v>
      </c>
      <c r="B24">
        <v>0.26298689326684155</v>
      </c>
      <c r="C24">
        <f t="shared" si="0"/>
        <v>0.16230057512832491</v>
      </c>
      <c r="D24">
        <f t="shared" si="1"/>
        <v>0.10068631813851664</v>
      </c>
      <c r="E24">
        <f t="shared" si="2"/>
        <v>1.0137734660290585E-2</v>
      </c>
    </row>
    <row r="25" spans="1:5" x14ac:dyDescent="0.25">
      <c r="A25">
        <v>1.681319587075</v>
      </c>
      <c r="B25">
        <v>0.17612883677504065</v>
      </c>
      <c r="C25">
        <f t="shared" si="0"/>
        <v>0.10889827484529126</v>
      </c>
      <c r="D25">
        <f t="shared" si="1"/>
        <v>6.7230561929749397E-2</v>
      </c>
      <c r="E25">
        <f t="shared" si="2"/>
        <v>4.5199484573898692E-3</v>
      </c>
    </row>
    <row r="26" spans="1:5" x14ac:dyDescent="0.25">
      <c r="A26">
        <v>1.7334115024250001</v>
      </c>
      <c r="B26">
        <v>0.14596978938205424</v>
      </c>
      <c r="C26">
        <f t="shared" si="0"/>
        <v>6.999089624840496E-2</v>
      </c>
      <c r="D26">
        <f t="shared" si="1"/>
        <v>7.5978893133649278E-2</v>
      </c>
      <c r="E26">
        <f t="shared" si="2"/>
        <v>5.7727922018144971E-3</v>
      </c>
    </row>
    <row r="27" spans="1:5" x14ac:dyDescent="0.25">
      <c r="A27">
        <v>1.7855034177750002</v>
      </c>
      <c r="B27">
        <v>3.4984494975864242E-2</v>
      </c>
      <c r="C27">
        <f t="shared" si="0"/>
        <v>4.3009163353194421E-2</v>
      </c>
      <c r="D27">
        <f t="shared" si="1"/>
        <v>-8.0246683773301797E-3</v>
      </c>
      <c r="E27">
        <f t="shared" si="2"/>
        <v>6.4395302566122977E-5</v>
      </c>
    </row>
    <row r="28" spans="1:5" x14ac:dyDescent="0.25">
      <c r="A28">
        <v>1.8375953331250001</v>
      </c>
      <c r="B28">
        <v>0</v>
      </c>
      <c r="C28">
        <f t="shared" si="0"/>
        <v>2.521951172232648E-2</v>
      </c>
      <c r="D28">
        <f t="shared" si="1"/>
        <v>-2.521951172232648E-2</v>
      </c>
      <c r="E28">
        <f t="shared" si="2"/>
        <v>6.360237715125627E-4</v>
      </c>
    </row>
    <row r="29" spans="1:5" x14ac:dyDescent="0.25">
      <c r="A29">
        <v>1.889687248475</v>
      </c>
      <c r="B29">
        <v>0</v>
      </c>
      <c r="C29">
        <f t="shared" si="0"/>
        <v>1.4083313387950911E-2</v>
      </c>
      <c r="D29">
        <f t="shared" si="1"/>
        <v>-1.4083313387950911E-2</v>
      </c>
      <c r="E29">
        <f t="shared" si="2"/>
        <v>1.9833971598323737E-4</v>
      </c>
    </row>
    <row r="30" spans="1:5" x14ac:dyDescent="0.25">
      <c r="A30">
        <v>1.9417791638250002</v>
      </c>
      <c r="B30">
        <v>0</v>
      </c>
      <c r="C30">
        <f t="shared" si="0"/>
        <v>7.4744865843056878E-3</v>
      </c>
      <c r="D30">
        <f t="shared" si="1"/>
        <v>-7.4744865843056878E-3</v>
      </c>
      <c r="E30">
        <f t="shared" si="2"/>
        <v>5.5867949698965708E-5</v>
      </c>
    </row>
    <row r="31" spans="1:5" x14ac:dyDescent="0.25">
      <c r="A31">
        <v>1.9938710791750003</v>
      </c>
      <c r="B31">
        <v>0</v>
      </c>
      <c r="C31">
        <f t="shared" si="0"/>
        <v>3.7623774293370745E-3</v>
      </c>
      <c r="D31">
        <f t="shared" si="1"/>
        <v>-3.7623774293370745E-3</v>
      </c>
      <c r="E31">
        <f t="shared" si="2"/>
        <v>1.4155483920785053E-5</v>
      </c>
    </row>
    <row r="32" spans="1:5" x14ac:dyDescent="0.25">
      <c r="A32">
        <v>2.0459629945250004</v>
      </c>
      <c r="B32">
        <v>0</v>
      </c>
      <c r="C32">
        <f t="shared" si="0"/>
        <v>1.7923580387781124E-3</v>
      </c>
      <c r="D32">
        <f t="shared" si="1"/>
        <v>-1.7923580387781124E-3</v>
      </c>
      <c r="E32">
        <f t="shared" si="2"/>
        <v>3.2125473391725216E-6</v>
      </c>
    </row>
    <row r="33" spans="1:5" x14ac:dyDescent="0.25">
      <c r="A33">
        <v>2.0980549098750001</v>
      </c>
      <c r="B33">
        <v>0</v>
      </c>
      <c r="C33">
        <f t="shared" si="0"/>
        <v>8.0635610051207614E-4</v>
      </c>
      <c r="D33">
        <f t="shared" si="1"/>
        <v>-8.0635610051207614E-4</v>
      </c>
      <c r="E33">
        <f t="shared" si="2"/>
        <v>6.5021016083304139E-7</v>
      </c>
    </row>
    <row r="34" spans="1:5" x14ac:dyDescent="0.25">
      <c r="A34">
        <v>2.1501468252250002</v>
      </c>
      <c r="B34">
        <v>0</v>
      </c>
      <c r="C34">
        <f t="shared" si="0"/>
        <v>3.4182890230674594E-4</v>
      </c>
      <c r="D34">
        <f t="shared" si="1"/>
        <v>-3.4182890230674594E-4</v>
      </c>
      <c r="E34">
        <f t="shared" si="2"/>
        <v>1.1684699845223487E-7</v>
      </c>
    </row>
    <row r="35" spans="1:5" x14ac:dyDescent="0.25">
      <c r="A35">
        <v>2.2022387405749999</v>
      </c>
      <c r="B35">
        <v>0</v>
      </c>
      <c r="C35">
        <f t="shared" si="0"/>
        <v>1.362362909336555E-4</v>
      </c>
      <c r="D35">
        <f t="shared" si="1"/>
        <v>-1.362362909336555E-4</v>
      </c>
      <c r="E35">
        <f t="shared" si="2"/>
        <v>1.8560326967359626E-8</v>
      </c>
    </row>
    <row r="36" spans="1:5" x14ac:dyDescent="0.25">
      <c r="A36">
        <v>2.254330655925</v>
      </c>
      <c r="B36">
        <v>0</v>
      </c>
      <c r="C36">
        <f t="shared" si="0"/>
        <v>5.0931201291984929E-5</v>
      </c>
      <c r="D36">
        <f t="shared" si="1"/>
        <v>-5.0931201291984929E-5</v>
      </c>
      <c r="E36">
        <f t="shared" si="2"/>
        <v>2.5939872650446874E-9</v>
      </c>
    </row>
    <row r="37" spans="1:5" x14ac:dyDescent="0.25">
      <c r="A37">
        <v>2.3064225712750002</v>
      </c>
      <c r="B37">
        <v>0</v>
      </c>
      <c r="C37">
        <f t="shared" si="0"/>
        <v>1.7818454494551502E-5</v>
      </c>
      <c r="D37">
        <f t="shared" si="1"/>
        <v>-1.7818454494551502E-5</v>
      </c>
      <c r="E37">
        <f t="shared" si="2"/>
        <v>3.1749732057440264E-10</v>
      </c>
    </row>
    <row r="38" spans="1:5" x14ac:dyDescent="0.25">
      <c r="A38">
        <v>2.3585144866250003</v>
      </c>
      <c r="B38">
        <v>0</v>
      </c>
      <c r="C38">
        <f t="shared" si="0"/>
        <v>5.8199918532427268E-6</v>
      </c>
      <c r="D38">
        <f t="shared" si="1"/>
        <v>-5.8199918532427268E-6</v>
      </c>
      <c r="E38">
        <f t="shared" si="2"/>
        <v>3.3872305171811709E-11</v>
      </c>
    </row>
    <row r="39" spans="1:5" x14ac:dyDescent="0.25">
      <c r="A39">
        <v>2.410606401975</v>
      </c>
      <c r="B39">
        <v>0</v>
      </c>
      <c r="C39">
        <f t="shared" si="0"/>
        <v>1.770499399019412E-6</v>
      </c>
      <c r="D39">
        <f t="shared" si="1"/>
        <v>-1.770499399019412E-6</v>
      </c>
      <c r="E39">
        <f t="shared" si="2"/>
        <v>3.1346681219280989E-12</v>
      </c>
    </row>
    <row r="40" spans="1:5" x14ac:dyDescent="0.25">
      <c r="A40">
        <v>2.4626983173250001</v>
      </c>
      <c r="B40">
        <v>1.2063618957194567E-3</v>
      </c>
      <c r="C40">
        <f t="shared" si="0"/>
        <v>5.0041343937198908E-7</v>
      </c>
      <c r="D40">
        <f t="shared" si="1"/>
        <v>1.2058614822800847E-3</v>
      </c>
      <c r="E40">
        <f t="shared" si="2"/>
        <v>1.454101914446723E-6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E9B3-107B-4E5B-9FCC-CBAE3C40DBF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0.49809477327500001</v>
      </c>
      <c r="B1">
        <v>0.14625024534647768</v>
      </c>
      <c r="C1">
        <f>$H$3*(1+$H$1)*(A1^($H$1))*EXP(-$H$3*(A1^(1+$H$1)))</f>
        <v>0.29388348972805056</v>
      </c>
      <c r="D1">
        <f>B1-C1</f>
        <v>-0.14763324438157288</v>
      </c>
      <c r="E1">
        <f>D1^2</f>
        <v>2.179557484662922E-2</v>
      </c>
      <c r="G1" t="s">
        <v>0</v>
      </c>
      <c r="H1">
        <v>3.1840455373987426</v>
      </c>
    </row>
    <row r="2" spans="1:8" x14ac:dyDescent="0.25">
      <c r="A2">
        <v>0.54664930582499993</v>
      </c>
      <c r="B2">
        <v>0.30544299028113925</v>
      </c>
      <c r="C2">
        <f t="shared" ref="C2:C40" si="0">$H$3*(1+$H$1)*(A2^($H$1))*EXP(-$H$3*(A2^(1+$H$1)))</f>
        <v>0.38842246640833938</v>
      </c>
      <c r="D2">
        <f t="shared" ref="D2:D40" si="1">B2-C2</f>
        <v>-8.2979476127200136E-2</v>
      </c>
      <c r="E2">
        <f t="shared" ref="E2:E40" si="2">D2^2</f>
        <v>6.8855934583445773E-3</v>
      </c>
    </row>
    <row r="3" spans="1:8" x14ac:dyDescent="0.25">
      <c r="A3">
        <v>0.59520383837500002</v>
      </c>
      <c r="B3">
        <v>0.4542817355452537</v>
      </c>
      <c r="C3">
        <f t="shared" si="0"/>
        <v>0.49777460313923622</v>
      </c>
      <c r="D3">
        <f t="shared" si="1"/>
        <v>-4.349286759398252E-2</v>
      </c>
      <c r="E3">
        <f t="shared" si="2"/>
        <v>1.8916295315476949E-3</v>
      </c>
      <c r="G3" t="s">
        <v>1</v>
      </c>
      <c r="H3">
        <f>(_xlfn.GAMMA((2+$H$1)/(1+$H$1)))^(1+$H$1)</f>
        <v>0.67004913373708264</v>
      </c>
    </row>
    <row r="4" spans="1:8" x14ac:dyDescent="0.25">
      <c r="A4">
        <v>0.6437583709250001</v>
      </c>
      <c r="B4">
        <v>0.67948122837965297</v>
      </c>
      <c r="C4">
        <f t="shared" si="0"/>
        <v>0.6202702926620246</v>
      </c>
      <c r="D4">
        <f t="shared" si="1"/>
        <v>5.9210935717628366E-2</v>
      </c>
      <c r="E4">
        <f t="shared" si="2"/>
        <v>3.5059349085571185E-3</v>
      </c>
    </row>
    <row r="5" spans="1:8" x14ac:dyDescent="0.25">
      <c r="A5">
        <v>0.69231290347499996</v>
      </c>
      <c r="B5">
        <v>1.0884642153662631</v>
      </c>
      <c r="C5">
        <f t="shared" si="0"/>
        <v>0.75291041721155316</v>
      </c>
      <c r="D5">
        <f t="shared" si="1"/>
        <v>0.33555379815470998</v>
      </c>
      <c r="E5">
        <f t="shared" si="2"/>
        <v>0.11259635145605185</v>
      </c>
      <c r="G5" t="s">
        <v>2</v>
      </c>
      <c r="H5">
        <f>SUM(E1:E40)</f>
        <v>0.80129064757975965</v>
      </c>
    </row>
    <row r="6" spans="1:8" x14ac:dyDescent="0.25">
      <c r="A6">
        <v>0.74086743602500005</v>
      </c>
      <c r="B6">
        <v>1.1829444623600054</v>
      </c>
      <c r="C6">
        <f t="shared" si="0"/>
        <v>0.89122810762772564</v>
      </c>
      <c r="D6">
        <f t="shared" si="1"/>
        <v>0.29171635473227975</v>
      </c>
      <c r="E6">
        <f t="shared" si="2"/>
        <v>8.5098431618289269E-2</v>
      </c>
    </row>
    <row r="7" spans="1:8" x14ac:dyDescent="0.25">
      <c r="A7">
        <v>0.78942196857499991</v>
      </c>
      <c r="B7">
        <v>1.3007212086124786</v>
      </c>
      <c r="C7">
        <f t="shared" si="0"/>
        <v>1.0292733017192472</v>
      </c>
      <c r="D7">
        <f t="shared" si="1"/>
        <v>0.27144790689323139</v>
      </c>
      <c r="E7">
        <f t="shared" si="2"/>
        <v>7.3683966156716421E-2</v>
      </c>
    </row>
    <row r="8" spans="1:8" x14ac:dyDescent="0.25">
      <c r="A8">
        <v>0.837976501125</v>
      </c>
      <c r="B8">
        <v>1.3744934562651265</v>
      </c>
      <c r="C8">
        <f t="shared" si="0"/>
        <v>1.1597751981470255</v>
      </c>
      <c r="D8">
        <f t="shared" si="1"/>
        <v>0.21471825811810108</v>
      </c>
      <c r="E8">
        <f t="shared" si="2"/>
        <v>4.6103930369271483E-2</v>
      </c>
    </row>
    <row r="9" spans="1:8" x14ac:dyDescent="0.25">
      <c r="A9">
        <v>0.88653103367500008</v>
      </c>
      <c r="B9">
        <v>1.4987414523116918</v>
      </c>
      <c r="C9">
        <f t="shared" si="0"/>
        <v>1.2745286931091095</v>
      </c>
      <c r="D9">
        <f t="shared" si="1"/>
        <v>0.22421275920258221</v>
      </c>
      <c r="E9">
        <f t="shared" si="2"/>
        <v>5.0271361389235117E-2</v>
      </c>
    </row>
    <row r="10" spans="1:8" x14ac:dyDescent="0.25">
      <c r="A10">
        <v>0.93508556622499994</v>
      </c>
      <c r="B10">
        <v>1.5349804511586065</v>
      </c>
      <c r="C10">
        <f t="shared" si="0"/>
        <v>1.3650262752950144</v>
      </c>
      <c r="D10">
        <f t="shared" si="1"/>
        <v>0.16995417586359207</v>
      </c>
      <c r="E10">
        <f t="shared" si="2"/>
        <v>2.8884421893472782E-2</v>
      </c>
    </row>
    <row r="11" spans="1:8" x14ac:dyDescent="0.25">
      <c r="A11">
        <v>0.98364009877500003</v>
      </c>
      <c r="B11">
        <v>1.5751021998819765</v>
      </c>
      <c r="C11">
        <f t="shared" si="0"/>
        <v>1.4233149119333857</v>
      </c>
      <c r="D11">
        <f t="shared" si="1"/>
        <v>0.15178728794859087</v>
      </c>
      <c r="E11">
        <f t="shared" si="2"/>
        <v>2.3039380782788436E-2</v>
      </c>
    </row>
    <row r="12" spans="1:8" x14ac:dyDescent="0.25">
      <c r="A12">
        <v>1.0321946313250001</v>
      </c>
      <c r="B12">
        <v>1.6048699489347995</v>
      </c>
      <c r="C12">
        <f t="shared" si="0"/>
        <v>1.44300118241774</v>
      </c>
      <c r="D12">
        <f t="shared" si="1"/>
        <v>0.1618687665170595</v>
      </c>
      <c r="E12">
        <f t="shared" si="2"/>
        <v>2.6201497573754323E-2</v>
      </c>
    </row>
    <row r="13" spans="1:8" x14ac:dyDescent="0.25">
      <c r="A13">
        <v>1.0807491638750002</v>
      </c>
      <c r="B13">
        <v>1.4042612053179495</v>
      </c>
      <c r="C13">
        <f t="shared" si="0"/>
        <v>1.4202669070955012</v>
      </c>
      <c r="D13">
        <f t="shared" si="1"/>
        <v>-1.6005701777551673E-2</v>
      </c>
      <c r="E13">
        <f t="shared" si="2"/>
        <v>2.561824893919208E-4</v>
      </c>
    </row>
    <row r="14" spans="1:8" x14ac:dyDescent="0.25">
      <c r="A14">
        <v>1.1293036964250001</v>
      </c>
      <c r="B14">
        <v>1.1570594631836377</v>
      </c>
      <c r="C14">
        <f t="shared" si="0"/>
        <v>1.3547082225261529</v>
      </c>
      <c r="D14">
        <f t="shared" si="1"/>
        <v>-0.19764875934251513</v>
      </c>
      <c r="E14">
        <f t="shared" si="2"/>
        <v>3.9065032069635464E-2</v>
      </c>
    </row>
    <row r="15" spans="1:8" x14ac:dyDescent="0.25">
      <c r="A15">
        <v>1.1778582289749999</v>
      </c>
      <c r="B15">
        <v>1.0548137164369851</v>
      </c>
      <c r="C15">
        <f t="shared" si="0"/>
        <v>1.2497940656248101</v>
      </c>
      <c r="D15">
        <f t="shared" si="1"/>
        <v>-0.19498034918782503</v>
      </c>
      <c r="E15">
        <f t="shared" si="2"/>
        <v>3.8017336569406181E-2</v>
      </c>
    </row>
    <row r="16" spans="1:8" x14ac:dyDescent="0.25">
      <c r="A16">
        <v>1.2264127615250002</v>
      </c>
      <c r="B16">
        <v>0.79596372467330778</v>
      </c>
      <c r="C16">
        <f t="shared" si="0"/>
        <v>1.1127738449003779</v>
      </c>
      <c r="D16">
        <f t="shared" si="1"/>
        <v>-0.31681012022707011</v>
      </c>
      <c r="E16">
        <f t="shared" si="2"/>
        <v>0.10036865227829062</v>
      </c>
    </row>
    <row r="17" spans="1:5" x14ac:dyDescent="0.25">
      <c r="A17">
        <v>1.2749672940750001</v>
      </c>
      <c r="B17">
        <v>0.68595247817374494</v>
      </c>
      <c r="C17">
        <f t="shared" si="0"/>
        <v>0.95395627649901193</v>
      </c>
      <c r="D17">
        <f t="shared" si="1"/>
        <v>-0.268003798325267</v>
      </c>
      <c r="E17">
        <f t="shared" si="2"/>
        <v>7.1826035916770378E-2</v>
      </c>
    </row>
    <row r="18" spans="1:5" x14ac:dyDescent="0.25">
      <c r="A18">
        <v>1.323521826625</v>
      </c>
      <c r="B18">
        <v>0.6147687304387337</v>
      </c>
      <c r="C18">
        <f t="shared" si="0"/>
        <v>0.78542034603855337</v>
      </c>
      <c r="D18">
        <f t="shared" si="1"/>
        <v>-0.17065161559981967</v>
      </c>
      <c r="E18">
        <f t="shared" si="2"/>
        <v>2.9121973906828618E-2</v>
      </c>
    </row>
    <row r="19" spans="1:5" x14ac:dyDescent="0.25">
      <c r="A19">
        <v>1.372076359175</v>
      </c>
      <c r="B19">
        <v>0.50605173389798919</v>
      </c>
      <c r="C19">
        <f t="shared" si="0"/>
        <v>0.61937139908939842</v>
      </c>
      <c r="D19">
        <f t="shared" si="1"/>
        <v>-0.11331966519140924</v>
      </c>
      <c r="E19">
        <f t="shared" si="2"/>
        <v>1.2841346519093086E-2</v>
      </c>
    </row>
    <row r="20" spans="1:5" x14ac:dyDescent="0.25">
      <c r="A20">
        <v>1.4206308917250001</v>
      </c>
      <c r="B20">
        <v>0.47240123496871111</v>
      </c>
      <c r="C20">
        <f t="shared" si="0"/>
        <v>0.46647127896742957</v>
      </c>
      <c r="D20">
        <f t="shared" si="1"/>
        <v>5.9299560012815444E-3</v>
      </c>
      <c r="E20">
        <f t="shared" si="2"/>
        <v>3.5164378177135004E-5</v>
      </c>
    </row>
    <row r="21" spans="1:5" x14ac:dyDescent="0.25">
      <c r="A21">
        <v>1.469185424275</v>
      </c>
      <c r="B21">
        <v>0.35980148855151151</v>
      </c>
      <c r="C21">
        <f t="shared" si="0"/>
        <v>0.33450356390550706</v>
      </c>
      <c r="D21">
        <f t="shared" si="1"/>
        <v>2.5297924646004444E-2</v>
      </c>
      <c r="E21">
        <f t="shared" si="2"/>
        <v>6.3998499139491908E-4</v>
      </c>
    </row>
    <row r="22" spans="1:5" x14ac:dyDescent="0.25">
      <c r="A22">
        <v>1.5177399568250001</v>
      </c>
      <c r="B22">
        <v>0.33909348921041732</v>
      </c>
      <c r="C22">
        <f t="shared" si="0"/>
        <v>0.22765918615020939</v>
      </c>
      <c r="D22">
        <f t="shared" si="1"/>
        <v>0.11143430306020793</v>
      </c>
      <c r="E22">
        <f t="shared" si="2"/>
        <v>1.2417603898514267E-2</v>
      </c>
    </row>
    <row r="23" spans="1:5" x14ac:dyDescent="0.25">
      <c r="A23">
        <v>1.5662944893750002</v>
      </c>
      <c r="B23">
        <v>0.23167074262849122</v>
      </c>
      <c r="C23">
        <f t="shared" si="0"/>
        <v>0.14655983544899218</v>
      </c>
      <c r="D23">
        <f t="shared" si="1"/>
        <v>8.511090717949904E-2</v>
      </c>
      <c r="E23">
        <f t="shared" si="2"/>
        <v>7.2438665209173013E-3</v>
      </c>
    </row>
    <row r="24" spans="1:5" x14ac:dyDescent="0.25">
      <c r="A24">
        <v>1.614849021925</v>
      </c>
      <c r="B24">
        <v>0.18119499423457414</v>
      </c>
      <c r="C24">
        <f t="shared" si="0"/>
        <v>8.8931988347660876E-2</v>
      </c>
      <c r="D24">
        <f t="shared" si="1"/>
        <v>9.226300588691326E-2</v>
      </c>
      <c r="E24">
        <f t="shared" si="2"/>
        <v>8.5124622552885908E-3</v>
      </c>
    </row>
    <row r="25" spans="1:5" x14ac:dyDescent="0.25">
      <c r="A25">
        <v>1.6634035544749999</v>
      </c>
      <c r="B25">
        <v>4.5298748558643534E-2</v>
      </c>
      <c r="C25">
        <f t="shared" si="0"/>
        <v>5.0677357522099307E-2</v>
      </c>
      <c r="D25">
        <f t="shared" si="1"/>
        <v>-5.3786089634557735E-3</v>
      </c>
      <c r="E25">
        <f t="shared" si="2"/>
        <v>2.892943438176679E-5</v>
      </c>
    </row>
    <row r="26" spans="1:5" x14ac:dyDescent="0.25">
      <c r="A26">
        <v>1.711958087025</v>
      </c>
      <c r="B26">
        <v>0</v>
      </c>
      <c r="C26">
        <f t="shared" si="0"/>
        <v>2.7015615577548707E-2</v>
      </c>
      <c r="D26">
        <f t="shared" si="1"/>
        <v>-2.7015615577548707E-2</v>
      </c>
      <c r="E26">
        <f t="shared" si="2"/>
        <v>7.2984348503389238E-4</v>
      </c>
    </row>
    <row r="27" spans="1:5" x14ac:dyDescent="0.25">
      <c r="A27">
        <v>1.760512619575</v>
      </c>
      <c r="B27">
        <v>0</v>
      </c>
      <c r="C27">
        <f t="shared" si="0"/>
        <v>1.3419165643873248E-2</v>
      </c>
      <c r="D27">
        <f t="shared" si="1"/>
        <v>-1.3419165643873248E-2</v>
      </c>
      <c r="E27">
        <f t="shared" si="2"/>
        <v>1.8007400657770814E-4</v>
      </c>
    </row>
    <row r="28" spans="1:5" x14ac:dyDescent="0.25">
      <c r="A28">
        <v>1.8090671521249999</v>
      </c>
      <c r="B28">
        <v>0</v>
      </c>
      <c r="C28">
        <f t="shared" si="0"/>
        <v>6.1850582356874238E-3</v>
      </c>
      <c r="D28">
        <f t="shared" si="1"/>
        <v>-6.1850582356874238E-3</v>
      </c>
      <c r="E28">
        <f t="shared" si="2"/>
        <v>3.8254945378844825E-5</v>
      </c>
    </row>
    <row r="29" spans="1:5" x14ac:dyDescent="0.25">
      <c r="A29">
        <v>1.8576216846749998</v>
      </c>
      <c r="B29">
        <v>0</v>
      </c>
      <c r="C29">
        <f t="shared" si="0"/>
        <v>2.6339101424716809E-3</v>
      </c>
      <c r="D29">
        <f t="shared" si="1"/>
        <v>-2.6339101424716809E-3</v>
      </c>
      <c r="E29">
        <f t="shared" si="2"/>
        <v>6.9374826386151898E-6</v>
      </c>
    </row>
    <row r="30" spans="1:5" x14ac:dyDescent="0.25">
      <c r="A30">
        <v>1.9061762172250001</v>
      </c>
      <c r="B30">
        <v>0</v>
      </c>
      <c r="C30">
        <f t="shared" si="0"/>
        <v>1.0317198554225203E-3</v>
      </c>
      <c r="D30">
        <f t="shared" si="1"/>
        <v>-1.0317198554225203E-3</v>
      </c>
      <c r="E30">
        <f t="shared" si="2"/>
        <v>1.0644458600730662E-6</v>
      </c>
    </row>
    <row r="31" spans="1:5" x14ac:dyDescent="0.25">
      <c r="A31">
        <v>1.9547307497749999</v>
      </c>
      <c r="B31">
        <v>0</v>
      </c>
      <c r="C31">
        <f t="shared" si="0"/>
        <v>3.700196236955959E-4</v>
      </c>
      <c r="D31">
        <f t="shared" si="1"/>
        <v>-3.700196236955959E-4</v>
      </c>
      <c r="E31">
        <f t="shared" si="2"/>
        <v>1.3691452191983039E-7</v>
      </c>
    </row>
    <row r="32" spans="1:5" x14ac:dyDescent="0.25">
      <c r="A32">
        <v>2.0032852823250002</v>
      </c>
      <c r="B32">
        <v>0</v>
      </c>
      <c r="C32">
        <f t="shared" si="0"/>
        <v>1.20926665635147E-4</v>
      </c>
      <c r="D32">
        <f t="shared" si="1"/>
        <v>-1.20926665635147E-4</v>
      </c>
      <c r="E32">
        <f t="shared" si="2"/>
        <v>1.4623258461634643E-8</v>
      </c>
    </row>
    <row r="33" spans="1:5" x14ac:dyDescent="0.25">
      <c r="A33">
        <v>2.0518398148750001</v>
      </c>
      <c r="B33">
        <v>0</v>
      </c>
      <c r="C33">
        <f t="shared" si="0"/>
        <v>3.5836019891756225E-5</v>
      </c>
      <c r="D33">
        <f t="shared" si="1"/>
        <v>-3.5836019891756225E-5</v>
      </c>
      <c r="E33">
        <f t="shared" si="2"/>
        <v>1.2842203216823478E-9</v>
      </c>
    </row>
    <row r="34" spans="1:5" x14ac:dyDescent="0.25">
      <c r="A34">
        <v>2.100394347425</v>
      </c>
      <c r="B34">
        <v>0</v>
      </c>
      <c r="C34">
        <f t="shared" si="0"/>
        <v>9.5811504168292711E-6</v>
      </c>
      <c r="D34">
        <f t="shared" si="1"/>
        <v>-9.5811504168292711E-6</v>
      </c>
      <c r="E34">
        <f t="shared" si="2"/>
        <v>9.179844330990771E-11</v>
      </c>
    </row>
    <row r="35" spans="1:5" x14ac:dyDescent="0.25">
      <c r="A35">
        <v>2.1489488799749998</v>
      </c>
      <c r="B35">
        <v>0</v>
      </c>
      <c r="C35">
        <f t="shared" si="0"/>
        <v>2.2990550351824464E-6</v>
      </c>
      <c r="D35">
        <f t="shared" si="1"/>
        <v>-2.2990550351824464E-6</v>
      </c>
      <c r="E35">
        <f t="shared" si="2"/>
        <v>5.2856540547977604E-12</v>
      </c>
    </row>
    <row r="36" spans="1:5" x14ac:dyDescent="0.25">
      <c r="A36">
        <v>2.1975034125250001</v>
      </c>
      <c r="B36">
        <v>0</v>
      </c>
      <c r="C36">
        <f t="shared" si="0"/>
        <v>4.924728244025965E-7</v>
      </c>
      <c r="D36">
        <f t="shared" si="1"/>
        <v>-4.924728244025965E-7</v>
      </c>
      <c r="E36">
        <f t="shared" si="2"/>
        <v>2.4252948277507066E-13</v>
      </c>
    </row>
    <row r="37" spans="1:5" x14ac:dyDescent="0.25">
      <c r="A37">
        <v>2.246057945075</v>
      </c>
      <c r="B37">
        <v>0</v>
      </c>
      <c r="C37">
        <f t="shared" si="0"/>
        <v>9.3652080523045382E-8</v>
      </c>
      <c r="D37">
        <f t="shared" si="1"/>
        <v>-9.3652080523045382E-8</v>
      </c>
      <c r="E37">
        <f t="shared" si="2"/>
        <v>8.7707121862949756E-15</v>
      </c>
    </row>
    <row r="38" spans="1:5" x14ac:dyDescent="0.25">
      <c r="A38">
        <v>2.2946124776249999</v>
      </c>
      <c r="B38">
        <v>0</v>
      </c>
      <c r="C38">
        <f t="shared" si="0"/>
        <v>1.5721338580797205E-8</v>
      </c>
      <c r="D38">
        <f t="shared" si="1"/>
        <v>-1.5721338580797205E-8</v>
      </c>
      <c r="E38">
        <f t="shared" si="2"/>
        <v>2.4716048677206269E-16</v>
      </c>
    </row>
    <row r="39" spans="1:5" x14ac:dyDescent="0.25">
      <c r="A39">
        <v>2.3431670101749997</v>
      </c>
      <c r="B39">
        <v>0</v>
      </c>
      <c r="C39">
        <f t="shared" si="0"/>
        <v>2.3161502850822131E-9</v>
      </c>
      <c r="D39">
        <f t="shared" si="1"/>
        <v>-2.3161502850822131E-9</v>
      </c>
      <c r="E39">
        <f t="shared" si="2"/>
        <v>5.364552143086417E-18</v>
      </c>
    </row>
    <row r="40" spans="1:5" x14ac:dyDescent="0.25">
      <c r="A40">
        <v>2.3917215427249996</v>
      </c>
      <c r="B40">
        <v>1.2942499588183866E-3</v>
      </c>
      <c r="C40">
        <f t="shared" si="0"/>
        <v>2.9768069893037814E-10</v>
      </c>
      <c r="D40">
        <f t="shared" si="1"/>
        <v>1.2942496611376877E-3</v>
      </c>
      <c r="E40">
        <f t="shared" si="2"/>
        <v>1.6750821853550194E-6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93EC-8BB3-4431-9032-21252AAAEC4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0.58274360831250005</v>
      </c>
      <c r="B1">
        <v>0.18553123464036814</v>
      </c>
      <c r="C1">
        <f>$H$3*(1+$H$1)*(A1^($H$1))*EXP(-$H$3*(A1^(1+$H$1)))</f>
        <v>0.34361108625036629</v>
      </c>
      <c r="D1">
        <f>B1-C1</f>
        <v>-0.15807985160999816</v>
      </c>
      <c r="E1">
        <f>D1^2</f>
        <v>2.4989239485039037E-2</v>
      </c>
      <c r="G1" t="s">
        <v>0</v>
      </c>
      <c r="H1">
        <v>4.1357685839557412</v>
      </c>
    </row>
    <row r="2" spans="1:8" x14ac:dyDescent="0.25">
      <c r="A2">
        <v>0.62711491293749999</v>
      </c>
      <c r="B2">
        <v>0.39938784861514359</v>
      </c>
      <c r="C2">
        <f t="shared" ref="C2:C40" si="0">$H$3*(1+$H$1)*(A2^($H$1))*EXP(-$H$3*(A2^(1+$H$1)))</f>
        <v>0.45687867188134479</v>
      </c>
      <c r="D2">
        <f t="shared" ref="D2:D40" si="1">B2-C2</f>
        <v>-5.7490823266201196E-2</v>
      </c>
      <c r="E2">
        <f t="shared" ref="E2:E40" si="2">D2^2</f>
        <v>3.3051947598255809E-3</v>
      </c>
    </row>
    <row r="3" spans="1:8" x14ac:dyDescent="0.25">
      <c r="A3">
        <v>0.67148621756250004</v>
      </c>
      <c r="B3">
        <v>0.57642146945518957</v>
      </c>
      <c r="C3">
        <f t="shared" si="0"/>
        <v>0.59126080316943586</v>
      </c>
      <c r="D3">
        <f t="shared" si="1"/>
        <v>-1.4839333714246283E-2</v>
      </c>
      <c r="E3">
        <f t="shared" si="2"/>
        <v>2.2020582508276639E-4</v>
      </c>
      <c r="G3" t="s">
        <v>1</v>
      </c>
      <c r="H3">
        <f>(_xlfn.GAMMA((2+$H$1)/(1+$H$1)))^(1+$H$1)</f>
        <v>0.65016968400738884</v>
      </c>
    </row>
    <row r="4" spans="1:8" x14ac:dyDescent="0.25">
      <c r="A4">
        <v>0.71585752218750009</v>
      </c>
      <c r="B4">
        <v>0.85967526279926298</v>
      </c>
      <c r="C4">
        <f t="shared" si="0"/>
        <v>0.74559356282440159</v>
      </c>
      <c r="D4">
        <f t="shared" si="1"/>
        <v>0.11408169997486139</v>
      </c>
      <c r="E4">
        <f t="shared" si="2"/>
        <v>1.301463426915429E-2</v>
      </c>
    </row>
    <row r="5" spans="1:8" x14ac:dyDescent="0.25">
      <c r="A5">
        <v>0.76022882681250015</v>
      </c>
      <c r="B5">
        <v>1.3482880563177897</v>
      </c>
      <c r="C5">
        <f t="shared" si="0"/>
        <v>0.91656417038959159</v>
      </c>
      <c r="D5">
        <f t="shared" si="1"/>
        <v>0.4317238859281981</v>
      </c>
      <c r="E5">
        <f t="shared" si="2"/>
        <v>0.1863855136809438</v>
      </c>
      <c r="G5" t="s">
        <v>2</v>
      </c>
      <c r="H5">
        <f>SUM(E1:E40)</f>
        <v>1.133765154905467</v>
      </c>
    </row>
    <row r="6" spans="1:8" x14ac:dyDescent="0.25">
      <c r="A6">
        <v>0.80460013143750009</v>
      </c>
      <c r="B6">
        <v>1.5196566012909543</v>
      </c>
      <c r="C6">
        <f t="shared" si="0"/>
        <v>1.0982125961282208</v>
      </c>
      <c r="D6">
        <f t="shared" si="1"/>
        <v>0.4214440051627335</v>
      </c>
      <c r="E6">
        <f t="shared" si="2"/>
        <v>0.17761504948760615</v>
      </c>
    </row>
    <row r="7" spans="1:8" x14ac:dyDescent="0.25">
      <c r="A7">
        <v>0.84897143606250003</v>
      </c>
      <c r="B7">
        <v>1.5961351254938541</v>
      </c>
      <c r="C7">
        <f t="shared" si="0"/>
        <v>1.2816144291613489</v>
      </c>
      <c r="D7">
        <f t="shared" si="1"/>
        <v>0.31452069633250512</v>
      </c>
      <c r="E7">
        <f t="shared" si="2"/>
        <v>9.8923268421483898E-2</v>
      </c>
    </row>
    <row r="8" spans="1:8" x14ac:dyDescent="0.25">
      <c r="A8">
        <v>0.89334274068750008</v>
      </c>
      <c r="B8">
        <v>1.7490921738996537</v>
      </c>
      <c r="C8">
        <f t="shared" si="0"/>
        <v>1.4549164391519585</v>
      </c>
      <c r="D8">
        <f t="shared" si="1"/>
        <v>0.29417573474769521</v>
      </c>
      <c r="E8">
        <f t="shared" si="2"/>
        <v>8.6539362914346329E-2</v>
      </c>
    </row>
    <row r="9" spans="1:8" x14ac:dyDescent="0.25">
      <c r="A9">
        <v>0.93771404531250013</v>
      </c>
      <c r="B9">
        <v>1.8000778567015869</v>
      </c>
      <c r="C9">
        <f t="shared" si="0"/>
        <v>1.6039109165354959</v>
      </c>
      <c r="D9">
        <f t="shared" si="1"/>
        <v>0.19616694016609104</v>
      </c>
      <c r="E9">
        <f t="shared" si="2"/>
        <v>3.8481468414126745E-2</v>
      </c>
    </row>
    <row r="10" spans="1:8" x14ac:dyDescent="0.25">
      <c r="A10">
        <v>0.98208534993750007</v>
      </c>
      <c r="B10">
        <v>1.9601162499409885</v>
      </c>
      <c r="C10">
        <f t="shared" si="0"/>
        <v>1.71329710829408</v>
      </c>
      <c r="D10">
        <f t="shared" si="1"/>
        <v>0.24681914164690855</v>
      </c>
      <c r="E10">
        <f t="shared" si="2"/>
        <v>6.0919688683316701E-2</v>
      </c>
    </row>
    <row r="11" spans="1:8" x14ac:dyDescent="0.25">
      <c r="A11">
        <v>1.0264566545625002</v>
      </c>
      <c r="B11">
        <v>1.8652262291707238</v>
      </c>
      <c r="C11">
        <f t="shared" si="0"/>
        <v>1.7686622695751677</v>
      </c>
      <c r="D11">
        <f t="shared" si="1"/>
        <v>9.6563959595556081E-2</v>
      </c>
      <c r="E11">
        <f t="shared" si="2"/>
        <v>9.3245982927721866E-3</v>
      </c>
    </row>
    <row r="12" spans="1:8" x14ac:dyDescent="0.25">
      <c r="A12">
        <v>1.0708279591875001</v>
      </c>
      <c r="B12">
        <v>1.7179342566318057</v>
      </c>
      <c r="C12">
        <f t="shared" si="0"/>
        <v>1.7590116732950183</v>
      </c>
      <c r="D12">
        <f t="shared" si="1"/>
        <v>-4.1077416663212629E-2</v>
      </c>
      <c r="E12">
        <f t="shared" si="2"/>
        <v>1.6873541597231785E-3</v>
      </c>
    </row>
    <row r="13" spans="1:8" x14ac:dyDescent="0.25">
      <c r="A13">
        <v>1.1151992638124999</v>
      </c>
      <c r="B13">
        <v>1.4672546495223007</v>
      </c>
      <c r="C13">
        <f t="shared" si="0"/>
        <v>1.6794135223270694</v>
      </c>
      <c r="D13">
        <f t="shared" si="1"/>
        <v>-0.21215887280476875</v>
      </c>
      <c r="E13">
        <f t="shared" si="2"/>
        <v>4.5011387309790048E-2</v>
      </c>
    </row>
    <row r="14" spans="1:8" x14ac:dyDescent="0.25">
      <c r="A14">
        <v>1.1595705684375002</v>
      </c>
      <c r="B14">
        <v>1.249149228647364</v>
      </c>
      <c r="C14">
        <f t="shared" si="0"/>
        <v>1.533080554760633</v>
      </c>
      <c r="D14">
        <f t="shared" si="1"/>
        <v>-0.28393132611326899</v>
      </c>
      <c r="E14">
        <f t="shared" si="2"/>
        <v>8.0616997948439503E-2</v>
      </c>
    </row>
    <row r="15" spans="1:8" x14ac:dyDescent="0.25">
      <c r="A15">
        <v>1.2039418730625</v>
      </c>
      <c r="B15">
        <v>0.9361537870021629</v>
      </c>
      <c r="C15">
        <f t="shared" si="0"/>
        <v>1.3321116325110709</v>
      </c>
      <c r="D15">
        <f t="shared" si="1"/>
        <v>-0.395957845508908</v>
      </c>
      <c r="E15">
        <f t="shared" si="2"/>
        <v>0.15678261542005625</v>
      </c>
    </row>
    <row r="16" spans="1:8" x14ac:dyDescent="0.25">
      <c r="A16">
        <v>1.2483131776875001</v>
      </c>
      <c r="B16">
        <v>0.79311062136340571</v>
      </c>
      <c r="C16">
        <f t="shared" si="0"/>
        <v>1.0962940587989578</v>
      </c>
      <c r="D16">
        <f t="shared" si="1"/>
        <v>-0.30318343743555209</v>
      </c>
      <c r="E16">
        <f t="shared" si="2"/>
        <v>9.1920196735237325E-2</v>
      </c>
    </row>
    <row r="17" spans="1:5" x14ac:dyDescent="0.25">
      <c r="A17">
        <v>1.2926844823125001</v>
      </c>
      <c r="B17">
        <v>0.69963686955986149</v>
      </c>
      <c r="C17">
        <f t="shared" si="0"/>
        <v>0.84987403146004115</v>
      </c>
      <c r="D17">
        <f t="shared" si="1"/>
        <v>-0.15023716190017966</v>
      </c>
      <c r="E17">
        <f t="shared" si="2"/>
        <v>2.2571204815820794E-2</v>
      </c>
    </row>
    <row r="18" spans="1:5" x14ac:dyDescent="0.25">
      <c r="A18">
        <v>1.3370557869374999</v>
      </c>
      <c r="B18">
        <v>0.56509131772142662</v>
      </c>
      <c r="C18">
        <f t="shared" si="0"/>
        <v>0.61692987178425451</v>
      </c>
      <c r="D18">
        <f t="shared" si="1"/>
        <v>-5.1838554062827891E-2</v>
      </c>
      <c r="E18">
        <f t="shared" si="2"/>
        <v>2.6872356873247302E-3</v>
      </c>
    </row>
    <row r="19" spans="1:5" x14ac:dyDescent="0.25">
      <c r="A19">
        <v>1.3814270915625002</v>
      </c>
      <c r="B19">
        <v>0.49002906248524714</v>
      </c>
      <c r="C19">
        <f t="shared" si="0"/>
        <v>0.41663910753792827</v>
      </c>
      <c r="D19">
        <f t="shared" si="1"/>
        <v>7.3389954947318869E-2</v>
      </c>
      <c r="E19">
        <f t="shared" si="2"/>
        <v>5.3860854871694936E-3</v>
      </c>
    </row>
    <row r="20" spans="1:5" x14ac:dyDescent="0.25">
      <c r="A20">
        <v>1.4257983961875</v>
      </c>
      <c r="B20">
        <v>0.35973231754697332</v>
      </c>
      <c r="C20">
        <f t="shared" si="0"/>
        <v>0.25994821253066203</v>
      </c>
      <c r="D20">
        <f t="shared" si="1"/>
        <v>9.9784105016311297E-2</v>
      </c>
      <c r="E20">
        <f t="shared" si="2"/>
        <v>9.9568676139062413E-3</v>
      </c>
    </row>
    <row r="21" spans="1:5" x14ac:dyDescent="0.25">
      <c r="A21">
        <v>1.4701697008124999</v>
      </c>
      <c r="B21">
        <v>0.25776095194310689</v>
      </c>
      <c r="C21">
        <f t="shared" si="0"/>
        <v>0.14870978327314788</v>
      </c>
      <c r="D21">
        <f t="shared" si="1"/>
        <v>0.10905116866995901</v>
      </c>
      <c r="E21">
        <f t="shared" si="2"/>
        <v>1.189215738828385E-2</v>
      </c>
    </row>
    <row r="22" spans="1:5" x14ac:dyDescent="0.25">
      <c r="A22">
        <v>1.5145410054375001</v>
      </c>
      <c r="B22">
        <v>0.14021062770531637</v>
      </c>
      <c r="C22">
        <f t="shared" si="0"/>
        <v>7.7374594820644502E-2</v>
      </c>
      <c r="D22">
        <f t="shared" si="1"/>
        <v>6.2836032884671864E-2</v>
      </c>
      <c r="E22">
        <f t="shared" si="2"/>
        <v>3.9483670286835637E-3</v>
      </c>
    </row>
    <row r="23" spans="1:5" x14ac:dyDescent="0.25">
      <c r="A23">
        <v>1.5589123100625</v>
      </c>
      <c r="B23">
        <v>0</v>
      </c>
      <c r="C23">
        <f t="shared" si="0"/>
        <v>3.6298898436807864E-2</v>
      </c>
      <c r="D23">
        <f t="shared" si="1"/>
        <v>-3.6298898436807864E-2</v>
      </c>
      <c r="E23">
        <f t="shared" si="2"/>
        <v>1.3176100277256923E-3</v>
      </c>
    </row>
    <row r="24" spans="1:5" x14ac:dyDescent="0.25">
      <c r="A24">
        <v>1.6032836146875</v>
      </c>
      <c r="B24">
        <v>0</v>
      </c>
      <c r="C24">
        <f t="shared" si="0"/>
        <v>1.5212385936996755E-2</v>
      </c>
      <c r="D24">
        <f t="shared" si="1"/>
        <v>-1.5212385936996755E-2</v>
      </c>
      <c r="E24">
        <f t="shared" si="2"/>
        <v>2.3141668589613662E-4</v>
      </c>
    </row>
    <row r="25" spans="1:5" x14ac:dyDescent="0.25">
      <c r="A25">
        <v>1.6476549193125001</v>
      </c>
      <c r="B25">
        <v>0</v>
      </c>
      <c r="C25">
        <f t="shared" si="0"/>
        <v>5.639203663526879E-3</v>
      </c>
      <c r="D25">
        <f t="shared" si="1"/>
        <v>-5.639203663526879E-3</v>
      </c>
      <c r="E25">
        <f t="shared" si="2"/>
        <v>3.1800617958734972E-5</v>
      </c>
    </row>
    <row r="26" spans="1:5" x14ac:dyDescent="0.25">
      <c r="A26">
        <v>1.6920262239375001</v>
      </c>
      <c r="B26">
        <v>0</v>
      </c>
      <c r="C26">
        <f t="shared" si="0"/>
        <v>1.8297426547619657E-3</v>
      </c>
      <c r="D26">
        <f t="shared" si="1"/>
        <v>-1.8297426547619657E-3</v>
      </c>
      <c r="E26">
        <f t="shared" si="2"/>
        <v>3.347958182655366E-6</v>
      </c>
    </row>
    <row r="27" spans="1:5" x14ac:dyDescent="0.25">
      <c r="A27">
        <v>1.7363975285625002</v>
      </c>
      <c r="B27">
        <v>0</v>
      </c>
      <c r="C27">
        <f t="shared" si="0"/>
        <v>5.1388867702459188E-4</v>
      </c>
      <c r="D27">
        <f t="shared" si="1"/>
        <v>-5.1388867702459188E-4</v>
      </c>
      <c r="E27">
        <f t="shared" si="2"/>
        <v>2.6408157237408528E-7</v>
      </c>
    </row>
    <row r="28" spans="1:5" x14ac:dyDescent="0.25">
      <c r="A28">
        <v>1.7807688331875</v>
      </c>
      <c r="B28">
        <v>0</v>
      </c>
      <c r="C28">
        <f t="shared" si="0"/>
        <v>1.2345874235482552E-4</v>
      </c>
      <c r="D28">
        <f t="shared" si="1"/>
        <v>-1.2345874235482552E-4</v>
      </c>
      <c r="E28">
        <f t="shared" si="2"/>
        <v>1.5242061063835187E-8</v>
      </c>
    </row>
    <row r="29" spans="1:5" x14ac:dyDescent="0.25">
      <c r="A29">
        <v>1.8251401378124998</v>
      </c>
      <c r="B29">
        <v>0</v>
      </c>
      <c r="C29">
        <f t="shared" si="0"/>
        <v>2.5056440689602888E-5</v>
      </c>
      <c r="D29">
        <f t="shared" si="1"/>
        <v>-2.5056440689602888E-5</v>
      </c>
      <c r="E29">
        <f t="shared" si="2"/>
        <v>6.2782522003158723E-10</v>
      </c>
    </row>
    <row r="30" spans="1:5" x14ac:dyDescent="0.25">
      <c r="A30">
        <v>1.8695114424375001</v>
      </c>
      <c r="B30">
        <v>0</v>
      </c>
      <c r="C30">
        <f t="shared" si="0"/>
        <v>4.239636110641098E-6</v>
      </c>
      <c r="D30">
        <f t="shared" si="1"/>
        <v>-4.239636110641098E-6</v>
      </c>
      <c r="E30">
        <f t="shared" si="2"/>
        <v>1.7974514350651977E-11</v>
      </c>
    </row>
    <row r="31" spans="1:5" x14ac:dyDescent="0.25">
      <c r="A31">
        <v>1.9138827470625002</v>
      </c>
      <c r="B31">
        <v>0</v>
      </c>
      <c r="C31">
        <f t="shared" si="0"/>
        <v>5.8979932507033924E-7</v>
      </c>
      <c r="D31">
        <f t="shared" si="1"/>
        <v>-5.8979932507033924E-7</v>
      </c>
      <c r="E31">
        <f t="shared" si="2"/>
        <v>3.4786324385342772E-13</v>
      </c>
    </row>
    <row r="32" spans="1:5" x14ac:dyDescent="0.25">
      <c r="A32">
        <v>1.9582540516875002</v>
      </c>
      <c r="B32">
        <v>0</v>
      </c>
      <c r="C32">
        <f t="shared" si="0"/>
        <v>6.6478458670929783E-8</v>
      </c>
      <c r="D32">
        <f t="shared" si="1"/>
        <v>-6.6478458670929783E-8</v>
      </c>
      <c r="E32">
        <f t="shared" si="2"/>
        <v>4.4193854672625196E-15</v>
      </c>
    </row>
    <row r="33" spans="1:5" x14ac:dyDescent="0.25">
      <c r="A33">
        <v>2.0026253563125</v>
      </c>
      <c r="B33">
        <v>0</v>
      </c>
      <c r="C33">
        <f t="shared" si="0"/>
        <v>5.9781186092999523E-9</v>
      </c>
      <c r="D33">
        <f t="shared" si="1"/>
        <v>-5.9781186092999523E-9</v>
      </c>
      <c r="E33">
        <f t="shared" si="2"/>
        <v>3.5737902106858396E-17</v>
      </c>
    </row>
    <row r="34" spans="1:5" x14ac:dyDescent="0.25">
      <c r="A34">
        <v>2.0469966609375003</v>
      </c>
      <c r="B34">
        <v>0</v>
      </c>
      <c r="C34">
        <f t="shared" si="0"/>
        <v>4.2201131000759865E-10</v>
      </c>
      <c r="D34">
        <f t="shared" si="1"/>
        <v>-4.2201131000759865E-10</v>
      </c>
      <c r="E34">
        <f t="shared" si="2"/>
        <v>1.7809354577432953E-19</v>
      </c>
    </row>
    <row r="35" spans="1:5" x14ac:dyDescent="0.25">
      <c r="A35">
        <v>2.0913679655625002</v>
      </c>
      <c r="B35">
        <v>0</v>
      </c>
      <c r="C35">
        <f t="shared" si="0"/>
        <v>2.2992354911865869E-11</v>
      </c>
      <c r="D35">
        <f t="shared" si="1"/>
        <v>-2.2992354911865869E-11</v>
      </c>
      <c r="E35">
        <f t="shared" si="2"/>
        <v>5.2864838439320251E-22</v>
      </c>
    </row>
    <row r="36" spans="1:5" x14ac:dyDescent="0.25">
      <c r="A36">
        <v>2.1357392701875</v>
      </c>
      <c r="B36">
        <v>0</v>
      </c>
      <c r="C36">
        <f t="shared" si="0"/>
        <v>9.4975762985909785E-13</v>
      </c>
      <c r="D36">
        <f t="shared" si="1"/>
        <v>-9.4975762985909785E-13</v>
      </c>
      <c r="E36">
        <f t="shared" si="2"/>
        <v>9.0203955547557107E-25</v>
      </c>
    </row>
    <row r="37" spans="1:5" x14ac:dyDescent="0.25">
      <c r="A37">
        <v>2.1801105748124998</v>
      </c>
      <c r="B37">
        <v>0</v>
      </c>
      <c r="C37">
        <f t="shared" si="0"/>
        <v>2.9195784698765032E-14</v>
      </c>
      <c r="D37">
        <f t="shared" si="1"/>
        <v>-2.9195784698765032E-14</v>
      </c>
      <c r="E37">
        <f t="shared" si="2"/>
        <v>8.523938441766423E-28</v>
      </c>
    </row>
    <row r="38" spans="1:5" x14ac:dyDescent="0.25">
      <c r="A38">
        <v>2.2244818794375001</v>
      </c>
      <c r="B38">
        <v>0</v>
      </c>
      <c r="C38">
        <f t="shared" si="0"/>
        <v>6.550025087624668E-16</v>
      </c>
      <c r="D38">
        <f t="shared" si="1"/>
        <v>-6.550025087624668E-16</v>
      </c>
      <c r="E38">
        <f t="shared" si="2"/>
        <v>4.2902828648512538E-31</v>
      </c>
    </row>
    <row r="39" spans="1:5" x14ac:dyDescent="0.25">
      <c r="A39">
        <v>2.2688531840625004</v>
      </c>
      <c r="B39">
        <v>0</v>
      </c>
      <c r="C39">
        <f t="shared" si="0"/>
        <v>1.0508469572093768E-17</v>
      </c>
      <c r="D39">
        <f t="shared" si="1"/>
        <v>-1.0508469572093768E-17</v>
      </c>
      <c r="E39">
        <f t="shared" si="2"/>
        <v>1.1042793274762058E-34</v>
      </c>
    </row>
    <row r="40" spans="1:5" x14ac:dyDescent="0.25">
      <c r="A40">
        <v>2.3132244886875002</v>
      </c>
      <c r="B40">
        <v>1.4162689667203674E-3</v>
      </c>
      <c r="C40">
        <f t="shared" si="0"/>
        <v>1.1802666962270273E-19</v>
      </c>
      <c r="D40">
        <f t="shared" si="1"/>
        <v>1.4162689667203672E-3</v>
      </c>
      <c r="E40">
        <f t="shared" si="2"/>
        <v>2.0058177860951767E-6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91DC-C446-4126-9FA4-E147CD550DD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0.6357127466500001</v>
      </c>
      <c r="B1">
        <v>0.22808724283452739</v>
      </c>
      <c r="C1">
        <f>$H$3*(1+$H$1)*(A1^($H$1))*EXP(-$H$3*(A1^(1+$H$1)))</f>
        <v>0.38840837771113651</v>
      </c>
      <c r="D1">
        <f>B1-C1</f>
        <v>-0.16032113487660912</v>
      </c>
      <c r="E1">
        <f>D1^2</f>
        <v>2.5702866288123894E-2</v>
      </c>
      <c r="G1" t="s">
        <v>0</v>
      </c>
      <c r="H1">
        <v>4.9304618047009825</v>
      </c>
    </row>
    <row r="2" spans="1:8" x14ac:dyDescent="0.25">
      <c r="A2">
        <v>0.67759118995000001</v>
      </c>
      <c r="B2">
        <v>0.47568194722727092</v>
      </c>
      <c r="C2">
        <f t="shared" ref="C2:C40" si="0">$H$3*(1+$H$1)*(A2^($H$1))*EXP(-$H$3*(A2^(1+$H$1)))</f>
        <v>0.52144814924402949</v>
      </c>
      <c r="D2">
        <f t="shared" ref="D2:D40" si="1">B2-C2</f>
        <v>-4.5766202016758573E-2</v>
      </c>
      <c r="E2">
        <f t="shared" ref="E2:E40" si="2">D2^2</f>
        <v>2.0945452470387564E-3</v>
      </c>
    </row>
    <row r="3" spans="1:8" x14ac:dyDescent="0.25">
      <c r="A3">
        <v>0.71946963325000002</v>
      </c>
      <c r="B3">
        <v>0.70526976402781494</v>
      </c>
      <c r="C3">
        <f t="shared" si="0"/>
        <v>0.68209990112728336</v>
      </c>
      <c r="D3">
        <f t="shared" si="1"/>
        <v>2.3169862900531579E-2</v>
      </c>
      <c r="E3">
        <f t="shared" si="2"/>
        <v>5.3684254682942966E-4</v>
      </c>
      <c r="G3" t="s">
        <v>1</v>
      </c>
      <c r="H3">
        <f>(_xlfn.GAMMA((2+$H$1)/(1+$H$1)))^(1+$H$1)</f>
        <v>0.6384107667555472</v>
      </c>
    </row>
    <row r="4" spans="1:8" x14ac:dyDescent="0.25">
      <c r="A4">
        <v>0.76134807655000003</v>
      </c>
      <c r="B4">
        <v>1.0564040720757057</v>
      </c>
      <c r="C4">
        <f t="shared" si="0"/>
        <v>0.8695750438391654</v>
      </c>
      <c r="D4">
        <f t="shared" si="1"/>
        <v>0.18682902823654035</v>
      </c>
      <c r="E4">
        <f t="shared" si="2"/>
        <v>3.4905085791809995E-2</v>
      </c>
    </row>
    <row r="5" spans="1:8" x14ac:dyDescent="0.25">
      <c r="A5">
        <v>0.80322651985000004</v>
      </c>
      <c r="B5">
        <v>1.6341250489921073</v>
      </c>
      <c r="C5">
        <f t="shared" si="0"/>
        <v>1.0799281191457937</v>
      </c>
      <c r="D5">
        <f t="shared" si="1"/>
        <v>0.55419692984631364</v>
      </c>
      <c r="E5">
        <f t="shared" si="2"/>
        <v>0.30713423705107989</v>
      </c>
      <c r="G5" t="s">
        <v>2</v>
      </c>
      <c r="H5">
        <f>SUM(E1:E40)</f>
        <v>1.4288052726138403</v>
      </c>
    </row>
    <row r="6" spans="1:8" x14ac:dyDescent="0.25">
      <c r="A6">
        <v>0.84510496315000005</v>
      </c>
      <c r="B6">
        <v>1.7886841674918199</v>
      </c>
      <c r="C6">
        <f t="shared" si="0"/>
        <v>1.305056088397728</v>
      </c>
      <c r="D6">
        <f t="shared" si="1"/>
        <v>0.48362807909409189</v>
      </c>
      <c r="E6">
        <f t="shared" si="2"/>
        <v>0.23389611888824119</v>
      </c>
    </row>
    <row r="7" spans="1:8" x14ac:dyDescent="0.25">
      <c r="A7">
        <v>0.88698340644999996</v>
      </c>
      <c r="B7">
        <v>1.8577105699285847</v>
      </c>
      <c r="C7">
        <f t="shared" si="0"/>
        <v>1.5319471767514397</v>
      </c>
      <c r="D7">
        <f t="shared" si="1"/>
        <v>0.32576339317714509</v>
      </c>
      <c r="E7">
        <f t="shared" si="2"/>
        <v>0.10612178833428722</v>
      </c>
    </row>
    <row r="8" spans="1:8" x14ac:dyDescent="0.25">
      <c r="A8">
        <v>0.92886184974999997</v>
      </c>
      <c r="B8">
        <v>2.0602880553408296</v>
      </c>
      <c r="C8">
        <f t="shared" si="0"/>
        <v>1.7425555236733108</v>
      </c>
      <c r="D8">
        <f t="shared" si="1"/>
        <v>0.3177325316675188</v>
      </c>
      <c r="E8">
        <f t="shared" si="2"/>
        <v>0.10095396167985084</v>
      </c>
    </row>
    <row r="9" spans="1:8" x14ac:dyDescent="0.25">
      <c r="A9">
        <v>0.97074029304999998</v>
      </c>
      <c r="B9">
        <v>2.2043431560784259</v>
      </c>
      <c r="C9">
        <f t="shared" si="0"/>
        <v>1.9147553339465202</v>
      </c>
      <c r="D9">
        <f t="shared" si="1"/>
        <v>0.2895878221319057</v>
      </c>
      <c r="E9">
        <f t="shared" si="2"/>
        <v>8.386110672710026E-2</v>
      </c>
    </row>
    <row r="10" spans="1:8" x14ac:dyDescent="0.25">
      <c r="A10">
        <v>1.0126187363500001</v>
      </c>
      <c r="B10">
        <v>2.1218115879475112</v>
      </c>
      <c r="C10">
        <f t="shared" si="0"/>
        <v>2.024774722717555</v>
      </c>
      <c r="D10">
        <f t="shared" si="1"/>
        <v>9.7036865229956248E-2</v>
      </c>
      <c r="E10">
        <f t="shared" si="2"/>
        <v>9.4161532136566913E-3</v>
      </c>
    </row>
    <row r="11" spans="1:8" x14ac:dyDescent="0.25">
      <c r="A11">
        <v>1.0544971796500002</v>
      </c>
      <c r="B11">
        <v>2.0002650967001645</v>
      </c>
      <c r="C11">
        <f t="shared" si="0"/>
        <v>2.0512268066443413</v>
      </c>
      <c r="D11">
        <f t="shared" si="1"/>
        <v>-5.0961709944176814E-2</v>
      </c>
      <c r="E11">
        <f t="shared" si="2"/>
        <v>2.5970958804344101E-3</v>
      </c>
    </row>
    <row r="12" spans="1:8" x14ac:dyDescent="0.25">
      <c r="A12">
        <v>1.0963756229500001</v>
      </c>
      <c r="B12">
        <v>1.7961870373219031</v>
      </c>
      <c r="C12">
        <f t="shared" si="0"/>
        <v>1.9802900203768969</v>
      </c>
      <c r="D12">
        <f t="shared" si="1"/>
        <v>-0.18410298305499384</v>
      </c>
      <c r="E12">
        <f t="shared" si="2"/>
        <v>3.3893908369747351E-2</v>
      </c>
    </row>
    <row r="13" spans="1:8" x14ac:dyDescent="0.25">
      <c r="A13">
        <v>1.13825406625</v>
      </c>
      <c r="B13">
        <v>1.4915705222205278</v>
      </c>
      <c r="C13">
        <f t="shared" si="0"/>
        <v>1.8108237269380127</v>
      </c>
      <c r="D13">
        <f t="shared" si="1"/>
        <v>-0.31925320471748497</v>
      </c>
      <c r="E13">
        <f t="shared" si="2"/>
        <v>0.10192260872238437</v>
      </c>
    </row>
    <row r="14" spans="1:8" x14ac:dyDescent="0.25">
      <c r="A14">
        <v>1.1801325095499999</v>
      </c>
      <c r="B14">
        <v>1.0909172732940882</v>
      </c>
      <c r="C14">
        <f t="shared" si="0"/>
        <v>1.5575402005887897</v>
      </c>
      <c r="D14">
        <f t="shared" si="1"/>
        <v>-0.46662292729470156</v>
      </c>
      <c r="E14">
        <f t="shared" si="2"/>
        <v>0.21773695627707634</v>
      </c>
    </row>
    <row r="15" spans="1:8" x14ac:dyDescent="0.25">
      <c r="A15">
        <v>1.2220109528499998</v>
      </c>
      <c r="B15">
        <v>0.95436504238657505</v>
      </c>
      <c r="C15">
        <f t="shared" si="0"/>
        <v>1.2502847477478298</v>
      </c>
      <c r="D15">
        <f t="shared" si="1"/>
        <v>-0.29591970536125478</v>
      </c>
      <c r="E15">
        <f t="shared" si="2"/>
        <v>8.7568472021091845E-2</v>
      </c>
    </row>
    <row r="16" spans="1:8" x14ac:dyDescent="0.25">
      <c r="A16">
        <v>1.2638893961500002</v>
      </c>
      <c r="B16">
        <v>0.73077952145009761</v>
      </c>
      <c r="C16">
        <f t="shared" si="0"/>
        <v>0.92845320489096472</v>
      </c>
      <c r="D16">
        <f t="shared" si="1"/>
        <v>-0.19767368344086711</v>
      </c>
      <c r="E16">
        <f t="shared" si="2"/>
        <v>3.9074885125080137E-2</v>
      </c>
    </row>
    <row r="17" spans="1:5" x14ac:dyDescent="0.25">
      <c r="A17">
        <v>1.3057678394500001</v>
      </c>
      <c r="B17">
        <v>0.63774393555706665</v>
      </c>
      <c r="C17">
        <f t="shared" si="0"/>
        <v>0.63157723038818891</v>
      </c>
      <c r="D17">
        <f t="shared" si="1"/>
        <v>6.1667051688777397E-3</v>
      </c>
      <c r="E17">
        <f t="shared" si="2"/>
        <v>3.8028252639863432E-5</v>
      </c>
    </row>
    <row r="18" spans="1:5" x14ac:dyDescent="0.25">
      <c r="A18">
        <v>1.34764628275</v>
      </c>
      <c r="B18">
        <v>0.47118022532922105</v>
      </c>
      <c r="C18">
        <f t="shared" si="0"/>
        <v>0.38929168762151906</v>
      </c>
      <c r="D18">
        <f t="shared" si="1"/>
        <v>8.1888537707701992E-2</v>
      </c>
      <c r="E18">
        <f t="shared" si="2"/>
        <v>6.7057326079057308E-3</v>
      </c>
    </row>
    <row r="19" spans="1:5" x14ac:dyDescent="0.25">
      <c r="A19">
        <v>1.3895247260499999</v>
      </c>
      <c r="B19">
        <v>0.36764062167407374</v>
      </c>
      <c r="C19">
        <f t="shared" si="0"/>
        <v>0.21482181893381319</v>
      </c>
      <c r="D19">
        <f t="shared" si="1"/>
        <v>0.15281880274026055</v>
      </c>
      <c r="E19">
        <f t="shared" si="2"/>
        <v>2.3353586470966664E-2</v>
      </c>
    </row>
    <row r="20" spans="1:5" x14ac:dyDescent="0.25">
      <c r="A20">
        <v>1.4314031693499998</v>
      </c>
      <c r="B20">
        <v>0.20107691144622808</v>
      </c>
      <c r="C20">
        <f t="shared" si="0"/>
        <v>0.10473348062174392</v>
      </c>
      <c r="D20">
        <f t="shared" si="1"/>
        <v>9.6343430824484155E-2</v>
      </c>
      <c r="E20">
        <f t="shared" si="2"/>
        <v>9.2820566630321642E-3</v>
      </c>
    </row>
    <row r="21" spans="1:5" x14ac:dyDescent="0.25">
      <c r="A21">
        <v>1.4732816126500001</v>
      </c>
      <c r="B21">
        <v>3.0011479320332548E-3</v>
      </c>
      <c r="C21">
        <f t="shared" si="0"/>
        <v>4.4462418931063265E-2</v>
      </c>
      <c r="D21">
        <f t="shared" si="1"/>
        <v>-4.1461270999030013E-2</v>
      </c>
      <c r="E21">
        <f t="shared" si="2"/>
        <v>1.7190369928550072E-3</v>
      </c>
    </row>
    <row r="22" spans="1:5" x14ac:dyDescent="0.25">
      <c r="A22">
        <v>1.51516005595</v>
      </c>
      <c r="B22">
        <v>0</v>
      </c>
      <c r="C22">
        <f t="shared" si="0"/>
        <v>1.6177596073800985E-2</v>
      </c>
      <c r="D22">
        <f t="shared" si="1"/>
        <v>-1.6177596073800985E-2</v>
      </c>
      <c r="E22">
        <f t="shared" si="2"/>
        <v>2.6171461472706105E-4</v>
      </c>
    </row>
    <row r="23" spans="1:5" x14ac:dyDescent="0.25">
      <c r="A23">
        <v>1.5570384992499999</v>
      </c>
      <c r="B23">
        <v>0</v>
      </c>
      <c r="C23">
        <f t="shared" si="0"/>
        <v>4.9584483809174138E-3</v>
      </c>
      <c r="D23">
        <f t="shared" si="1"/>
        <v>-4.9584483809174138E-3</v>
      </c>
      <c r="E23">
        <f t="shared" si="2"/>
        <v>2.4586210346222521E-5</v>
      </c>
    </row>
    <row r="24" spans="1:5" x14ac:dyDescent="0.25">
      <c r="A24">
        <v>1.5989169425499998</v>
      </c>
      <c r="B24">
        <v>0</v>
      </c>
      <c r="C24">
        <f t="shared" si="0"/>
        <v>1.2564286438070096E-3</v>
      </c>
      <c r="D24">
        <f t="shared" si="1"/>
        <v>-1.2564286438070096E-3</v>
      </c>
      <c r="E24">
        <f t="shared" si="2"/>
        <v>1.5786129369787215E-6</v>
      </c>
    </row>
    <row r="25" spans="1:5" x14ac:dyDescent="0.25">
      <c r="A25">
        <v>1.6407953858500002</v>
      </c>
      <c r="B25">
        <v>0</v>
      </c>
      <c r="C25">
        <f t="shared" si="0"/>
        <v>2.5790355009477721E-4</v>
      </c>
      <c r="D25">
        <f t="shared" si="1"/>
        <v>-2.5790355009477721E-4</v>
      </c>
      <c r="E25">
        <f t="shared" si="2"/>
        <v>6.6514241151489258E-8</v>
      </c>
    </row>
    <row r="26" spans="1:5" x14ac:dyDescent="0.25">
      <c r="A26">
        <v>1.6826738291500001</v>
      </c>
      <c r="B26">
        <v>0</v>
      </c>
      <c r="C26">
        <f t="shared" si="0"/>
        <v>4.195218741575015E-5</v>
      </c>
      <c r="D26">
        <f t="shared" si="1"/>
        <v>-4.195218741575015E-5</v>
      </c>
      <c r="E26">
        <f t="shared" si="2"/>
        <v>1.7599860289662252E-9</v>
      </c>
    </row>
    <row r="27" spans="1:5" x14ac:dyDescent="0.25">
      <c r="A27">
        <v>1.72455227245</v>
      </c>
      <c r="B27">
        <v>0</v>
      </c>
      <c r="C27">
        <f t="shared" si="0"/>
        <v>5.2811361696503675E-6</v>
      </c>
      <c r="D27">
        <f t="shared" si="1"/>
        <v>-5.2811361696503675E-6</v>
      </c>
      <c r="E27">
        <f t="shared" si="2"/>
        <v>2.7890399242389356E-11</v>
      </c>
    </row>
    <row r="28" spans="1:5" x14ac:dyDescent="0.25">
      <c r="A28">
        <v>1.7664307157499999</v>
      </c>
      <c r="B28">
        <v>0</v>
      </c>
      <c r="C28">
        <f t="shared" si="0"/>
        <v>5.0151492351585388E-7</v>
      </c>
      <c r="D28">
        <f t="shared" si="1"/>
        <v>-5.0151492351585388E-7</v>
      </c>
      <c r="E28">
        <f t="shared" si="2"/>
        <v>2.5151721850911276E-13</v>
      </c>
    </row>
    <row r="29" spans="1:5" x14ac:dyDescent="0.25">
      <c r="A29">
        <v>1.8083091590499998</v>
      </c>
      <c r="B29">
        <v>0</v>
      </c>
      <c r="C29">
        <f t="shared" si="0"/>
        <v>3.4954679313704718E-8</v>
      </c>
      <c r="D29">
        <f t="shared" si="1"/>
        <v>-3.4954679313704718E-8</v>
      </c>
      <c r="E29">
        <f t="shared" si="2"/>
        <v>1.2218296059239366E-15</v>
      </c>
    </row>
    <row r="30" spans="1:5" x14ac:dyDescent="0.25">
      <c r="A30">
        <v>1.8501876023500001</v>
      </c>
      <c r="B30">
        <v>0</v>
      </c>
      <c r="C30">
        <f t="shared" si="0"/>
        <v>1.7362303688832147E-9</v>
      </c>
      <c r="D30">
        <f t="shared" si="1"/>
        <v>-1.7362303688832147E-9</v>
      </c>
      <c r="E30">
        <f t="shared" si="2"/>
        <v>3.0144958938323438E-18</v>
      </c>
    </row>
    <row r="31" spans="1:5" x14ac:dyDescent="0.25">
      <c r="A31">
        <v>1.89206604565</v>
      </c>
      <c r="B31">
        <v>0</v>
      </c>
      <c r="C31">
        <f t="shared" si="0"/>
        <v>5.9552557330061169E-11</v>
      </c>
      <c r="D31">
        <f t="shared" si="1"/>
        <v>-5.9552557330061169E-11</v>
      </c>
      <c r="E31">
        <f t="shared" si="2"/>
        <v>3.5465070845502222E-21</v>
      </c>
    </row>
    <row r="32" spans="1:5" x14ac:dyDescent="0.25">
      <c r="A32">
        <v>1.9339444889499999</v>
      </c>
      <c r="B32">
        <v>0</v>
      </c>
      <c r="C32">
        <f t="shared" si="0"/>
        <v>1.3637961995379388E-12</v>
      </c>
      <c r="D32">
        <f t="shared" si="1"/>
        <v>-1.3637961995379388E-12</v>
      </c>
      <c r="E32">
        <f t="shared" si="2"/>
        <v>1.8599400738741253E-24</v>
      </c>
    </row>
    <row r="33" spans="1:5" x14ac:dyDescent="0.25">
      <c r="A33">
        <v>1.9758229322499998</v>
      </c>
      <c r="B33">
        <v>0</v>
      </c>
      <c r="C33">
        <f t="shared" si="0"/>
        <v>2.011558417279551E-14</v>
      </c>
      <c r="D33">
        <f t="shared" si="1"/>
        <v>-2.011558417279551E-14</v>
      </c>
      <c r="E33">
        <f t="shared" si="2"/>
        <v>4.0463672661282125E-28</v>
      </c>
    </row>
    <row r="34" spans="1:5" x14ac:dyDescent="0.25">
      <c r="A34">
        <v>2.0177013755499997</v>
      </c>
      <c r="B34">
        <v>0</v>
      </c>
      <c r="C34">
        <f t="shared" si="0"/>
        <v>1.8390732466804147E-16</v>
      </c>
      <c r="D34">
        <f t="shared" si="1"/>
        <v>-1.8390732466804147E-16</v>
      </c>
      <c r="E34">
        <f t="shared" si="2"/>
        <v>3.3821904066556412E-32</v>
      </c>
    </row>
    <row r="35" spans="1:5" x14ac:dyDescent="0.25">
      <c r="A35">
        <v>2.0595798188500001</v>
      </c>
      <c r="B35">
        <v>0</v>
      </c>
      <c r="C35">
        <f t="shared" si="0"/>
        <v>1.0005195430910427E-18</v>
      </c>
      <c r="D35">
        <f t="shared" si="1"/>
        <v>-1.0005195430910427E-18</v>
      </c>
      <c r="E35">
        <f t="shared" si="2"/>
        <v>1.0010393561071089E-36</v>
      </c>
    </row>
    <row r="36" spans="1:5" x14ac:dyDescent="0.25">
      <c r="A36">
        <v>2.10145826215</v>
      </c>
      <c r="B36">
        <v>0</v>
      </c>
      <c r="C36">
        <f t="shared" si="0"/>
        <v>3.1015098585364125E-21</v>
      </c>
      <c r="D36">
        <f t="shared" si="1"/>
        <v>-3.1015098585364125E-21</v>
      </c>
      <c r="E36">
        <f t="shared" si="2"/>
        <v>9.6193634025985569E-42</v>
      </c>
    </row>
    <row r="37" spans="1:5" x14ac:dyDescent="0.25">
      <c r="A37">
        <v>2.1433367054500003</v>
      </c>
      <c r="B37">
        <v>0</v>
      </c>
      <c r="C37">
        <f t="shared" si="0"/>
        <v>5.2316864135916582E-24</v>
      </c>
      <c r="D37">
        <f t="shared" si="1"/>
        <v>-5.2316864135916582E-24</v>
      </c>
      <c r="E37">
        <f t="shared" si="2"/>
        <v>2.7370542730159545E-47</v>
      </c>
    </row>
    <row r="38" spans="1:5" x14ac:dyDescent="0.25">
      <c r="A38">
        <v>2.1852151487500002</v>
      </c>
      <c r="B38">
        <v>0</v>
      </c>
      <c r="C38">
        <f t="shared" si="0"/>
        <v>4.5732442957526788E-27</v>
      </c>
      <c r="D38">
        <f t="shared" si="1"/>
        <v>-4.5732442957526788E-27</v>
      </c>
      <c r="E38">
        <f t="shared" si="2"/>
        <v>2.0914563388634413E-53</v>
      </c>
    </row>
    <row r="39" spans="1:5" x14ac:dyDescent="0.25">
      <c r="A39">
        <v>2.2270935920500001</v>
      </c>
      <c r="B39">
        <v>0</v>
      </c>
      <c r="C39">
        <f t="shared" si="0"/>
        <v>1.9672572419949759E-30</v>
      </c>
      <c r="D39">
        <f t="shared" si="1"/>
        <v>-1.9672572419949759E-30</v>
      </c>
      <c r="E39">
        <f t="shared" si="2"/>
        <v>3.8701010561816793E-60</v>
      </c>
    </row>
    <row r="40" spans="1:5" x14ac:dyDescent="0.25">
      <c r="A40">
        <v>2.26897203535</v>
      </c>
      <c r="B40">
        <v>1.5005739660166274E-3</v>
      </c>
      <c r="C40">
        <f t="shared" si="0"/>
        <v>3.9426756929947102E-34</v>
      </c>
      <c r="D40">
        <f t="shared" si="1"/>
        <v>1.5005739660166274E-3</v>
      </c>
      <c r="E40">
        <f t="shared" si="2"/>
        <v>2.2517222274868705E-6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F0E6-D37C-4B7E-818D-D88B2649CCF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0.70070143653749994</v>
      </c>
      <c r="B1">
        <v>0.29697386399267395</v>
      </c>
      <c r="C1">
        <f>$H$3*(1+$H$1)*(A1^($H$1))*EXP(-$H$3*(A1^(1+$H$1)))</f>
        <v>0.46396852503094504</v>
      </c>
      <c r="D1">
        <f>B1-C1</f>
        <v>-0.1669946610382711</v>
      </c>
      <c r="E1">
        <f>D1^2</f>
        <v>2.7887216815287059E-2</v>
      </c>
      <c r="G1" t="s">
        <v>0</v>
      </c>
      <c r="H1">
        <v>6.2865645700895278</v>
      </c>
    </row>
    <row r="2" spans="1:8" x14ac:dyDescent="0.25">
      <c r="A2">
        <v>0.73963709561250002</v>
      </c>
      <c r="B2">
        <v>0.62622749581063863</v>
      </c>
      <c r="C2">
        <f t="shared" ref="C2:C40" si="0">$H$3*(1+$H$1)*(A2^($H$1))*EXP(-$H$3*(A2^(1+$H$1)))</f>
        <v>0.63727453156788683</v>
      </c>
      <c r="D2">
        <f t="shared" ref="D2:D40" si="1">B2-C2</f>
        <v>-1.1047035757248191E-2</v>
      </c>
      <c r="E2">
        <f t="shared" ref="E2:E40" si="2">D2^2</f>
        <v>1.2203699902192012E-4</v>
      </c>
    </row>
    <row r="3" spans="1:8" x14ac:dyDescent="0.25">
      <c r="A3">
        <v>0.77857275468750009</v>
      </c>
      <c r="B3">
        <v>0.94741118567228055</v>
      </c>
      <c r="C3">
        <f t="shared" si="0"/>
        <v>0.85260151190608957</v>
      </c>
      <c r="D3">
        <f t="shared" si="1"/>
        <v>9.4809673766190983E-2</v>
      </c>
      <c r="E3">
        <f t="shared" si="2"/>
        <v>8.9888742396515633E-3</v>
      </c>
      <c r="G3" t="s">
        <v>1</v>
      </c>
      <c r="H3">
        <f>(_xlfn.GAMMA((2+$H$1)/(1+$H$1)))^(1+$H$1)</f>
        <v>0.62421857446640461</v>
      </c>
    </row>
    <row r="4" spans="1:8" x14ac:dyDescent="0.25">
      <c r="A4">
        <v>0.81750841376249994</v>
      </c>
      <c r="B4">
        <v>1.4816413431808408</v>
      </c>
      <c r="C4">
        <f t="shared" si="0"/>
        <v>1.1099217704633659</v>
      </c>
      <c r="D4">
        <f t="shared" si="1"/>
        <v>0.37171957271747491</v>
      </c>
      <c r="E4">
        <f t="shared" si="2"/>
        <v>0.13817544074126212</v>
      </c>
    </row>
    <row r="5" spans="1:8" x14ac:dyDescent="0.25">
      <c r="A5">
        <v>0.85644407283750001</v>
      </c>
      <c r="B5">
        <v>2.0416953149496337</v>
      </c>
      <c r="C5">
        <f t="shared" si="0"/>
        <v>1.4032088223266412</v>
      </c>
      <c r="D5">
        <f t="shared" si="1"/>
        <v>0.63848649262299251</v>
      </c>
      <c r="E5">
        <f t="shared" si="2"/>
        <v>0.40766500126201066</v>
      </c>
      <c r="G5" t="s">
        <v>2</v>
      </c>
      <c r="H5">
        <f>SUM(E1:E40)</f>
        <v>1.9389617436116746</v>
      </c>
    </row>
    <row r="6" spans="1:8" x14ac:dyDescent="0.25">
      <c r="A6">
        <v>0.89537973191249998</v>
      </c>
      <c r="B6">
        <v>2.2870215504218425</v>
      </c>
      <c r="C6">
        <f t="shared" si="0"/>
        <v>1.7178033020139107</v>
      </c>
      <c r="D6">
        <f t="shared" si="1"/>
        <v>0.56921824840793178</v>
      </c>
      <c r="E6">
        <f t="shared" si="2"/>
        <v>0.32400941432059394</v>
      </c>
    </row>
    <row r="7" spans="1:8" x14ac:dyDescent="0.25">
      <c r="A7">
        <v>0.93431539098749994</v>
      </c>
      <c r="B7">
        <v>2.4661742618522053</v>
      </c>
      <c r="C7">
        <f t="shared" si="0"/>
        <v>2.0282578900777271</v>
      </c>
      <c r="D7">
        <f t="shared" si="1"/>
        <v>0.43791637177447829</v>
      </c>
      <c r="E7">
        <f t="shared" si="2"/>
        <v>0.19177074866812308</v>
      </c>
    </row>
    <row r="8" spans="1:8" x14ac:dyDescent="0.25">
      <c r="A8">
        <v>0.97325105006250001</v>
      </c>
      <c r="B8">
        <v>2.640485008108775</v>
      </c>
      <c r="C8">
        <f t="shared" si="0"/>
        <v>2.2979425301363352</v>
      </c>
      <c r="D8">
        <f t="shared" si="1"/>
        <v>0.34254247797243975</v>
      </c>
      <c r="E8">
        <f t="shared" si="2"/>
        <v>0.11733534921549937</v>
      </c>
    </row>
    <row r="9" spans="1:8" x14ac:dyDescent="0.25">
      <c r="A9">
        <v>1.0121867091375001</v>
      </c>
      <c r="B9">
        <v>2.5807674376319873</v>
      </c>
      <c r="C9">
        <f t="shared" si="0"/>
        <v>2.4821093001829837</v>
      </c>
      <c r="D9">
        <f t="shared" si="1"/>
        <v>9.8658137449003647E-2</v>
      </c>
      <c r="E9">
        <f t="shared" si="2"/>
        <v>9.7334280849064956E-3</v>
      </c>
    </row>
    <row r="10" spans="1:8" x14ac:dyDescent="0.25">
      <c r="A10">
        <v>1.0511223682125002</v>
      </c>
      <c r="B10">
        <v>2.379018888723921</v>
      </c>
      <c r="C10">
        <f t="shared" si="0"/>
        <v>2.535904633871366</v>
      </c>
      <c r="D10">
        <f t="shared" si="1"/>
        <v>-0.15688574514744502</v>
      </c>
      <c r="E10">
        <f t="shared" si="2"/>
        <v>2.4613137030469068E-2</v>
      </c>
    </row>
    <row r="11" spans="1:8" x14ac:dyDescent="0.25">
      <c r="A11">
        <v>1.0900580272875002</v>
      </c>
      <c r="B11">
        <v>2.161130455903209</v>
      </c>
      <c r="C11">
        <f t="shared" si="0"/>
        <v>2.4273334301183307</v>
      </c>
      <c r="D11">
        <f t="shared" si="1"/>
        <v>-0.26620297421512173</v>
      </c>
      <c r="E11">
        <f t="shared" si="2"/>
        <v>7.0864023480976771E-2</v>
      </c>
    </row>
    <row r="12" spans="1:8" x14ac:dyDescent="0.25">
      <c r="A12">
        <v>1.1289936863625001</v>
      </c>
      <c r="B12">
        <v>1.6785479269151138</v>
      </c>
      <c r="C12">
        <f t="shared" si="0"/>
        <v>2.1521399155035339</v>
      </c>
      <c r="D12">
        <f t="shared" si="1"/>
        <v>-0.47359198858842011</v>
      </c>
      <c r="E12">
        <f t="shared" si="2"/>
        <v>0.22428937165513424</v>
      </c>
    </row>
    <row r="13" spans="1:8" x14ac:dyDescent="0.25">
      <c r="A13">
        <v>1.1679293454374999</v>
      </c>
      <c r="B13">
        <v>1.2250171889697801</v>
      </c>
      <c r="C13">
        <f t="shared" si="0"/>
        <v>1.7439312634190065</v>
      </c>
      <c r="D13">
        <f t="shared" si="1"/>
        <v>-0.51891407444922644</v>
      </c>
      <c r="E13">
        <f t="shared" si="2"/>
        <v>0.2692718166614973</v>
      </c>
    </row>
    <row r="14" spans="1:8" x14ac:dyDescent="0.25">
      <c r="A14">
        <v>1.2068650045125</v>
      </c>
      <c r="B14">
        <v>0.98776089545389389</v>
      </c>
      <c r="C14">
        <f t="shared" si="0"/>
        <v>1.2714256059102997</v>
      </c>
      <c r="D14">
        <f t="shared" si="1"/>
        <v>-0.28366471045640584</v>
      </c>
      <c r="E14">
        <f t="shared" si="2"/>
        <v>8.046566795831657E-2</v>
      </c>
    </row>
    <row r="15" spans="1:8" x14ac:dyDescent="0.25">
      <c r="A15">
        <v>1.2458006635875001</v>
      </c>
      <c r="B15">
        <v>0.80215223045847261</v>
      </c>
      <c r="C15">
        <f t="shared" si="0"/>
        <v>0.81891946069433141</v>
      </c>
      <c r="D15">
        <f t="shared" si="1"/>
        <v>-1.6767230235858799E-2</v>
      </c>
      <c r="E15">
        <f t="shared" si="2"/>
        <v>2.8114000978229751E-4</v>
      </c>
    </row>
    <row r="16" spans="1:8" x14ac:dyDescent="0.25">
      <c r="A16">
        <v>1.2847363226624999</v>
      </c>
      <c r="B16">
        <v>0.56812391372511539</v>
      </c>
      <c r="C16">
        <f t="shared" si="0"/>
        <v>0.45629617643281367</v>
      </c>
      <c r="D16">
        <f t="shared" si="1"/>
        <v>0.11182773729230172</v>
      </c>
      <c r="E16">
        <f t="shared" si="2"/>
        <v>1.2505442827916049E-2</v>
      </c>
    </row>
    <row r="17" spans="1:5" x14ac:dyDescent="0.25">
      <c r="A17">
        <v>1.3236719817375</v>
      </c>
      <c r="B17">
        <v>0.38251524872969417</v>
      </c>
      <c r="C17">
        <f t="shared" si="0"/>
        <v>0.21469678584512328</v>
      </c>
      <c r="D17">
        <f t="shared" si="1"/>
        <v>0.16781846288457089</v>
      </c>
      <c r="E17">
        <f t="shared" si="2"/>
        <v>2.8163036484940097E-2</v>
      </c>
    </row>
    <row r="18" spans="1:5" x14ac:dyDescent="0.25">
      <c r="A18">
        <v>1.3626076408125001</v>
      </c>
      <c r="B18">
        <v>0.1291190713011626</v>
      </c>
      <c r="C18">
        <f t="shared" si="0"/>
        <v>8.2986210926550855E-2</v>
      </c>
      <c r="D18">
        <f t="shared" si="1"/>
        <v>4.6132860374611742E-2</v>
      </c>
      <c r="E18">
        <f t="shared" si="2"/>
        <v>2.1282408063434221E-3</v>
      </c>
    </row>
    <row r="19" spans="1:5" x14ac:dyDescent="0.25">
      <c r="A19">
        <v>1.4015432998875001</v>
      </c>
      <c r="B19">
        <v>0</v>
      </c>
      <c r="C19">
        <f t="shared" si="0"/>
        <v>2.5537425786609502E-2</v>
      </c>
      <c r="D19">
        <f t="shared" si="1"/>
        <v>-2.5537425786609502E-2</v>
      </c>
      <c r="E19">
        <f t="shared" si="2"/>
        <v>6.52160115806588E-4</v>
      </c>
    </row>
    <row r="20" spans="1:5" x14ac:dyDescent="0.25">
      <c r="A20">
        <v>1.4404789589625</v>
      </c>
      <c r="B20">
        <v>0</v>
      </c>
      <c r="C20">
        <f t="shared" si="0"/>
        <v>6.0384781235909455E-3</v>
      </c>
      <c r="D20">
        <f t="shared" si="1"/>
        <v>-6.0384781235909455E-3</v>
      </c>
      <c r="E20">
        <f t="shared" si="2"/>
        <v>3.6463218049086429E-5</v>
      </c>
    </row>
    <row r="21" spans="1:5" x14ac:dyDescent="0.25">
      <c r="A21">
        <v>1.4794146180375001</v>
      </c>
      <c r="B21">
        <v>0</v>
      </c>
      <c r="C21">
        <f t="shared" si="0"/>
        <v>1.0540772104756363E-3</v>
      </c>
      <c r="D21">
        <f t="shared" si="1"/>
        <v>-1.0540772104756363E-3</v>
      </c>
      <c r="E21">
        <f t="shared" si="2"/>
        <v>1.1110787656440989E-6</v>
      </c>
    </row>
    <row r="22" spans="1:5" x14ac:dyDescent="0.25">
      <c r="A22">
        <v>1.5183502771124999</v>
      </c>
      <c r="B22">
        <v>0</v>
      </c>
      <c r="C22">
        <f t="shared" si="0"/>
        <v>1.298584757570149E-4</v>
      </c>
      <c r="D22">
        <f t="shared" si="1"/>
        <v>-1.298584757570149E-4</v>
      </c>
      <c r="E22">
        <f t="shared" si="2"/>
        <v>1.6863223725935226E-8</v>
      </c>
    </row>
    <row r="23" spans="1:5" x14ac:dyDescent="0.25">
      <c r="A23">
        <v>1.5572859361875</v>
      </c>
      <c r="B23">
        <v>0</v>
      </c>
      <c r="C23">
        <f t="shared" si="0"/>
        <v>1.0735611512690018E-5</v>
      </c>
      <c r="D23">
        <f t="shared" si="1"/>
        <v>-1.0735611512690018E-5</v>
      </c>
      <c r="E23">
        <f t="shared" si="2"/>
        <v>1.1525335455140246E-10</v>
      </c>
    </row>
    <row r="24" spans="1:5" x14ac:dyDescent="0.25">
      <c r="A24">
        <v>1.5962215952625001</v>
      </c>
      <c r="B24">
        <v>0</v>
      </c>
      <c r="C24">
        <f t="shared" si="0"/>
        <v>5.6297186644055863E-7</v>
      </c>
      <c r="D24">
        <f t="shared" si="1"/>
        <v>-5.6297186644055863E-7</v>
      </c>
      <c r="E24">
        <f t="shared" si="2"/>
        <v>3.1693732240356617E-13</v>
      </c>
    </row>
    <row r="25" spans="1:5" x14ac:dyDescent="0.25">
      <c r="A25">
        <v>1.6351572543374999</v>
      </c>
      <c r="B25">
        <v>0</v>
      </c>
      <c r="C25">
        <f t="shared" si="0"/>
        <v>1.7587866725315847E-8</v>
      </c>
      <c r="D25">
        <f t="shared" si="1"/>
        <v>-1.7587866725315847E-8</v>
      </c>
      <c r="E25">
        <f t="shared" si="2"/>
        <v>3.0933305594747237E-16</v>
      </c>
    </row>
    <row r="26" spans="1:5" x14ac:dyDescent="0.25">
      <c r="A26">
        <v>1.6740929134125002</v>
      </c>
      <c r="B26">
        <v>0</v>
      </c>
      <c r="C26">
        <f t="shared" si="0"/>
        <v>3.0531896621459327E-10</v>
      </c>
      <c r="D26">
        <f t="shared" si="1"/>
        <v>-3.0531896621459327E-10</v>
      </c>
      <c r="E26">
        <f t="shared" si="2"/>
        <v>9.321967113034794E-20</v>
      </c>
    </row>
    <row r="27" spans="1:5" x14ac:dyDescent="0.25">
      <c r="A27">
        <v>1.7130285724875001</v>
      </c>
      <c r="B27">
        <v>0</v>
      </c>
      <c r="C27">
        <f t="shared" si="0"/>
        <v>2.7264221884768026E-12</v>
      </c>
      <c r="D27">
        <f t="shared" si="1"/>
        <v>-2.7264221884768026E-12</v>
      </c>
      <c r="E27">
        <f t="shared" si="2"/>
        <v>7.4333779498186378E-24</v>
      </c>
    </row>
    <row r="28" spans="1:5" x14ac:dyDescent="0.25">
      <c r="A28">
        <v>1.7519642315624999</v>
      </c>
      <c r="B28">
        <v>0</v>
      </c>
      <c r="C28">
        <f t="shared" si="0"/>
        <v>1.1499827473143082E-14</v>
      </c>
      <c r="D28">
        <f t="shared" si="1"/>
        <v>-1.1499827473143082E-14</v>
      </c>
      <c r="E28">
        <f t="shared" si="2"/>
        <v>1.3224603191205639E-28</v>
      </c>
    </row>
    <row r="29" spans="1:5" x14ac:dyDescent="0.25">
      <c r="A29">
        <v>1.7908998906375</v>
      </c>
      <c r="B29">
        <v>0</v>
      </c>
      <c r="C29">
        <f t="shared" si="0"/>
        <v>2.0854919911351156E-17</v>
      </c>
      <c r="D29">
        <f t="shared" si="1"/>
        <v>-2.0854919911351156E-17</v>
      </c>
      <c r="E29">
        <f t="shared" si="2"/>
        <v>4.3492768450887093E-34</v>
      </c>
    </row>
    <row r="30" spans="1:5" x14ac:dyDescent="0.25">
      <c r="A30">
        <v>1.8298355497125001</v>
      </c>
      <c r="B30">
        <v>0</v>
      </c>
      <c r="C30">
        <f t="shared" si="0"/>
        <v>1.4662709096534732E-20</v>
      </c>
      <c r="D30">
        <f t="shared" si="1"/>
        <v>-1.4662709096534732E-20</v>
      </c>
      <c r="E30">
        <f t="shared" si="2"/>
        <v>2.1499503804960238E-40</v>
      </c>
    </row>
    <row r="31" spans="1:5" x14ac:dyDescent="0.25">
      <c r="A31">
        <v>1.8687712087874999</v>
      </c>
      <c r="B31">
        <v>0</v>
      </c>
      <c r="C31">
        <f t="shared" si="0"/>
        <v>3.5676450032105726E-24</v>
      </c>
      <c r="D31">
        <f t="shared" si="1"/>
        <v>-3.5676450032105726E-24</v>
      </c>
      <c r="E31">
        <f t="shared" si="2"/>
        <v>1.2728090868933367E-47</v>
      </c>
    </row>
    <row r="32" spans="1:5" x14ac:dyDescent="0.25">
      <c r="A32">
        <v>1.9077068678625002</v>
      </c>
      <c r="B32">
        <v>0</v>
      </c>
      <c r="C32">
        <f t="shared" si="0"/>
        <v>2.6525673093700129E-28</v>
      </c>
      <c r="D32">
        <f t="shared" si="1"/>
        <v>-2.6525673093700129E-28</v>
      </c>
      <c r="E32">
        <f t="shared" si="2"/>
        <v>7.0361133307384696E-56</v>
      </c>
    </row>
    <row r="33" spans="1:5" x14ac:dyDescent="0.25">
      <c r="A33">
        <v>1.9466425269375001</v>
      </c>
      <c r="B33">
        <v>0</v>
      </c>
      <c r="C33">
        <f t="shared" si="0"/>
        <v>5.2597999418749264E-33</v>
      </c>
      <c r="D33">
        <f t="shared" si="1"/>
        <v>-5.2597999418749264E-33</v>
      </c>
      <c r="E33">
        <f t="shared" si="2"/>
        <v>2.766549542854748E-65</v>
      </c>
    </row>
    <row r="34" spans="1:5" x14ac:dyDescent="0.25">
      <c r="A34">
        <v>1.9855781860124999</v>
      </c>
      <c r="B34">
        <v>0</v>
      </c>
      <c r="C34">
        <f t="shared" si="0"/>
        <v>2.3976284925407202E-38</v>
      </c>
      <c r="D34">
        <f t="shared" si="1"/>
        <v>-2.3976284925407202E-38</v>
      </c>
      <c r="E34">
        <f t="shared" si="2"/>
        <v>5.7486223882430861E-76</v>
      </c>
    </row>
    <row r="35" spans="1:5" x14ac:dyDescent="0.25">
      <c r="A35">
        <v>2.0245138450875002</v>
      </c>
      <c r="B35">
        <v>0</v>
      </c>
      <c r="C35">
        <f t="shared" si="0"/>
        <v>2.1370592274309528E-44</v>
      </c>
      <c r="D35">
        <f t="shared" si="1"/>
        <v>-2.1370592274309528E-44</v>
      </c>
      <c r="E35">
        <f t="shared" si="2"/>
        <v>4.5670221415477808E-88</v>
      </c>
    </row>
    <row r="36" spans="1:5" x14ac:dyDescent="0.25">
      <c r="A36">
        <v>2.0634495041625001</v>
      </c>
      <c r="B36">
        <v>0</v>
      </c>
      <c r="C36">
        <f t="shared" si="0"/>
        <v>3.1233274100824947E-51</v>
      </c>
      <c r="D36">
        <f t="shared" si="1"/>
        <v>-3.1233274100824947E-51</v>
      </c>
      <c r="E36">
        <f t="shared" si="2"/>
        <v>9.7551741105726232E-102</v>
      </c>
    </row>
    <row r="37" spans="1:5" x14ac:dyDescent="0.25">
      <c r="A37">
        <v>2.1023851632374999</v>
      </c>
      <c r="B37">
        <v>0</v>
      </c>
      <c r="C37">
        <f t="shared" si="0"/>
        <v>6.1823721594121539E-59</v>
      </c>
      <c r="D37">
        <f t="shared" si="1"/>
        <v>-6.1823721594121539E-59</v>
      </c>
      <c r="E37">
        <f t="shared" si="2"/>
        <v>3.8221725517474498E-117</v>
      </c>
    </row>
    <row r="38" spans="1:5" x14ac:dyDescent="0.25">
      <c r="A38">
        <v>2.1413208223125002</v>
      </c>
      <c r="B38">
        <v>0</v>
      </c>
      <c r="C38">
        <f t="shared" si="0"/>
        <v>1.3471056389701692E-67</v>
      </c>
      <c r="D38">
        <f t="shared" si="1"/>
        <v>-1.3471056389701692E-67</v>
      </c>
      <c r="E38">
        <f t="shared" si="2"/>
        <v>1.8146936025452279E-134</v>
      </c>
    </row>
    <row r="39" spans="1:5" x14ac:dyDescent="0.25">
      <c r="A39">
        <v>2.1802564813875001</v>
      </c>
      <c r="B39">
        <v>0</v>
      </c>
      <c r="C39">
        <f t="shared" si="0"/>
        <v>2.5815944591361317E-77</v>
      </c>
      <c r="D39">
        <f t="shared" si="1"/>
        <v>-2.5815944591361317E-77</v>
      </c>
      <c r="E39">
        <f t="shared" si="2"/>
        <v>6.6646299514423758E-154</v>
      </c>
    </row>
    <row r="40" spans="1:5" x14ac:dyDescent="0.25">
      <c r="A40">
        <v>2.2191921404624999</v>
      </c>
      <c r="B40">
        <v>1.6139883912645325E-3</v>
      </c>
      <c r="C40">
        <f t="shared" si="0"/>
        <v>3.4138292547093372E-88</v>
      </c>
      <c r="D40">
        <f t="shared" si="1"/>
        <v>1.6139883912645325E-3</v>
      </c>
      <c r="E40">
        <f t="shared" si="2"/>
        <v>2.6049585271366735E-6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EF4B-DA7F-46C3-B521-1A51A36B036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0.78845185867500001</v>
      </c>
      <c r="B1">
        <v>0.47466048139793104</v>
      </c>
      <c r="C1">
        <f>$H$3*(1+$H$1)*(A1^($H$1))*EXP(-$H$3*(A1^(1+$H$1)))</f>
        <v>0.64321412631336983</v>
      </c>
      <c r="D1">
        <f>B1-C1</f>
        <v>-0.16855364491543878</v>
      </c>
      <c r="E1">
        <f>D1^2</f>
        <v>2.8410331214279824E-2</v>
      </c>
      <c r="G1" t="s">
        <v>0</v>
      </c>
      <c r="H1">
        <v>9.3714251051093225</v>
      </c>
    </row>
    <row r="2" spans="1:8" x14ac:dyDescent="0.25">
      <c r="A2">
        <v>0.82353378602499994</v>
      </c>
      <c r="B2">
        <v>0.99051791023794666</v>
      </c>
      <c r="C2">
        <f t="shared" ref="C2:C40" si="0">$H$3*(1+$H$1)*(A2^($H$1))*EXP(-$H$3*(A2^(1+$H$1)))</f>
        <v>0.93923640232424022</v>
      </c>
      <c r="D2">
        <f t="shared" ref="D2:D40" si="1">B2-C2</f>
        <v>5.1281507913706448E-2</v>
      </c>
      <c r="E2">
        <f t="shared" ref="E2:E40" si="2">D2^2</f>
        <v>2.6297930539035371E-3</v>
      </c>
    </row>
    <row r="3" spans="1:8" x14ac:dyDescent="0.25">
      <c r="A3">
        <v>0.85861571337499998</v>
      </c>
      <c r="B3">
        <v>1.6693719572183838</v>
      </c>
      <c r="C3">
        <f t="shared" si="0"/>
        <v>1.3290763832018446</v>
      </c>
      <c r="D3">
        <f t="shared" si="1"/>
        <v>0.3402955740165392</v>
      </c>
      <c r="E3">
        <f t="shared" si="2"/>
        <v>0.11580107769524592</v>
      </c>
      <c r="G3" t="s">
        <v>1</v>
      </c>
      <c r="H3">
        <f>(_xlfn.GAMMA((2+$H$1)/(1+$H$1)))^(1+$H$1)</f>
        <v>0.60567393850066686</v>
      </c>
    </row>
    <row r="4" spans="1:8" x14ac:dyDescent="0.25">
      <c r="A4">
        <v>0.89369764072500002</v>
      </c>
      <c r="B4">
        <v>2.7422837623404996</v>
      </c>
      <c r="C4">
        <f t="shared" si="0"/>
        <v>1.8141214382769322</v>
      </c>
      <c r="D4">
        <f t="shared" si="1"/>
        <v>0.92816232406356747</v>
      </c>
      <c r="E4">
        <f t="shared" si="2"/>
        <v>0.86148529981108279</v>
      </c>
    </row>
    <row r="5" spans="1:8" x14ac:dyDescent="0.25">
      <c r="A5">
        <v>0.92877956807499995</v>
      </c>
      <c r="B5">
        <v>3.1793296395521797</v>
      </c>
      <c r="C5">
        <f t="shared" si="0"/>
        <v>2.3720726726140997</v>
      </c>
      <c r="D5">
        <f t="shared" si="1"/>
        <v>0.80725696693808002</v>
      </c>
      <c r="E5">
        <f t="shared" si="2"/>
        <v>0.6516638106700684</v>
      </c>
      <c r="G5" t="s">
        <v>2</v>
      </c>
      <c r="H5">
        <f>SUM(E1:E40)</f>
        <v>3.3550035625940247</v>
      </c>
    </row>
    <row r="6" spans="1:8" x14ac:dyDescent="0.25">
      <c r="A6">
        <v>0.96386149542499999</v>
      </c>
      <c r="B6">
        <v>3.5071140474609397</v>
      </c>
      <c r="C6">
        <f t="shared" si="0"/>
        <v>2.9424040826705036</v>
      </c>
      <c r="D6">
        <f t="shared" si="1"/>
        <v>0.56470996479043611</v>
      </c>
      <c r="E6">
        <f t="shared" si="2"/>
        <v>0.31889734433361561</v>
      </c>
    </row>
    <row r="7" spans="1:8" x14ac:dyDescent="0.25">
      <c r="A7">
        <v>0.99894342277499992</v>
      </c>
      <c r="B7">
        <v>3.7739986200205311</v>
      </c>
      <c r="C7">
        <f t="shared" si="0"/>
        <v>3.4166634617134113</v>
      </c>
      <c r="D7">
        <f t="shared" si="1"/>
        <v>0.35733515830711982</v>
      </c>
      <c r="E7">
        <f t="shared" si="2"/>
        <v>0.12768841536237438</v>
      </c>
    </row>
    <row r="8" spans="1:8" x14ac:dyDescent="0.25">
      <c r="A8">
        <v>1.0340253501249999</v>
      </c>
      <c r="B8">
        <v>3.3476997725763513</v>
      </c>
      <c r="C8">
        <f t="shared" si="0"/>
        <v>3.6483206809073545</v>
      </c>
      <c r="D8">
        <f t="shared" si="1"/>
        <v>-0.30062090833100319</v>
      </c>
      <c r="E8">
        <f t="shared" si="2"/>
        <v>9.0372930525757428E-2</v>
      </c>
    </row>
    <row r="9" spans="1:8" x14ac:dyDescent="0.25">
      <c r="A9">
        <v>1.0691072774750001</v>
      </c>
      <c r="B9">
        <v>3.0969357446680106</v>
      </c>
      <c r="C9">
        <f t="shared" si="0"/>
        <v>3.4995511236612953</v>
      </c>
      <c r="D9">
        <f t="shared" si="1"/>
        <v>-0.4026153789932847</v>
      </c>
      <c r="E9">
        <f t="shared" si="2"/>
        <v>0.16209914340190629</v>
      </c>
    </row>
    <row r="10" spans="1:8" x14ac:dyDescent="0.25">
      <c r="A10">
        <v>1.1041892048249999</v>
      </c>
      <c r="B10">
        <v>2.1189560358254811</v>
      </c>
      <c r="C10">
        <f t="shared" si="0"/>
        <v>2.9254207389106566</v>
      </c>
      <c r="D10">
        <f t="shared" si="1"/>
        <v>-0.80646470308517548</v>
      </c>
      <c r="E10">
        <f t="shared" si="2"/>
        <v>0.65038531732226024</v>
      </c>
    </row>
    <row r="11" spans="1:8" x14ac:dyDescent="0.25">
      <c r="A11">
        <v>1.139271132175</v>
      </c>
      <c r="B11">
        <v>1.520704712101296</v>
      </c>
      <c r="C11">
        <f t="shared" si="0"/>
        <v>2.0499348985671975</v>
      </c>
      <c r="D11">
        <f t="shared" si="1"/>
        <v>-0.52923018646590148</v>
      </c>
      <c r="E11">
        <f t="shared" si="2"/>
        <v>0.28008459026673282</v>
      </c>
    </row>
    <row r="12" spans="1:8" x14ac:dyDescent="0.25">
      <c r="A12">
        <v>1.174353059525</v>
      </c>
      <c r="B12">
        <v>1.1284381255875342</v>
      </c>
      <c r="C12">
        <f t="shared" si="0"/>
        <v>1.146151678707972</v>
      </c>
      <c r="D12">
        <f t="shared" si="1"/>
        <v>-1.7713553120437764E-2</v>
      </c>
      <c r="E12">
        <f t="shared" si="2"/>
        <v>3.1376996415057045E-4</v>
      </c>
    </row>
    <row r="13" spans="1:8" x14ac:dyDescent="0.25">
      <c r="A13">
        <v>1.2094349868749998</v>
      </c>
      <c r="B13">
        <v>0.7146774795387717</v>
      </c>
      <c r="C13">
        <f t="shared" si="0"/>
        <v>0.48054339949262775</v>
      </c>
      <c r="D13">
        <f t="shared" si="1"/>
        <v>0.23413408004614394</v>
      </c>
      <c r="E13">
        <f t="shared" si="2"/>
        <v>5.4818767439054138E-2</v>
      </c>
    </row>
    <row r="14" spans="1:8" x14ac:dyDescent="0.25">
      <c r="A14">
        <v>1.2445169142249999</v>
      </c>
      <c r="B14">
        <v>0.2382258265129239</v>
      </c>
      <c r="C14">
        <f t="shared" si="0"/>
        <v>0.13981141746826914</v>
      </c>
      <c r="D14">
        <f t="shared" si="1"/>
        <v>9.841440904465476E-2</v>
      </c>
      <c r="E14">
        <f t="shared" si="2"/>
        <v>9.6853959076086248E-3</v>
      </c>
    </row>
    <row r="15" spans="1:8" x14ac:dyDescent="0.25">
      <c r="A15">
        <v>1.2795988415749999</v>
      </c>
      <c r="B15">
        <v>0</v>
      </c>
      <c r="C15">
        <f t="shared" si="0"/>
        <v>2.5640168984401898E-2</v>
      </c>
      <c r="D15">
        <f t="shared" si="1"/>
        <v>-2.5640168984401898E-2</v>
      </c>
      <c r="E15">
        <f t="shared" si="2"/>
        <v>6.5741826554868504E-4</v>
      </c>
    </row>
    <row r="16" spans="1:8" x14ac:dyDescent="0.25">
      <c r="A16">
        <v>1.3146807689250002</v>
      </c>
      <c r="B16">
        <v>0</v>
      </c>
      <c r="C16">
        <f t="shared" si="0"/>
        <v>2.6328527111396643E-3</v>
      </c>
      <c r="D16">
        <f t="shared" si="1"/>
        <v>-2.6328527111396643E-3</v>
      </c>
      <c r="E16">
        <f t="shared" si="2"/>
        <v>6.9319133985554802E-6</v>
      </c>
    </row>
    <row r="17" spans="1:5" x14ac:dyDescent="0.25">
      <c r="A17">
        <v>1.349762696275</v>
      </c>
      <c r="B17">
        <v>0</v>
      </c>
      <c r="C17">
        <f t="shared" si="0"/>
        <v>1.309360560962095E-4</v>
      </c>
      <c r="D17">
        <f t="shared" si="1"/>
        <v>-1.309360560962095E-4</v>
      </c>
      <c r="E17">
        <f t="shared" si="2"/>
        <v>1.7144250786029722E-8</v>
      </c>
    </row>
    <row r="18" spans="1:5" x14ac:dyDescent="0.25">
      <c r="A18">
        <v>1.3848446236249998</v>
      </c>
      <c r="B18">
        <v>0</v>
      </c>
      <c r="C18">
        <f t="shared" si="0"/>
        <v>2.6429684906781805E-6</v>
      </c>
      <c r="D18">
        <f t="shared" si="1"/>
        <v>-2.6429684906781805E-6</v>
      </c>
      <c r="E18">
        <f t="shared" si="2"/>
        <v>6.9852824427176995E-12</v>
      </c>
    </row>
    <row r="19" spans="1:5" x14ac:dyDescent="0.25">
      <c r="A19">
        <v>1.4199265509750001</v>
      </c>
      <c r="B19">
        <v>0</v>
      </c>
      <c r="C19">
        <f t="shared" si="0"/>
        <v>1.7481167141224261E-8</v>
      </c>
      <c r="D19">
        <f t="shared" si="1"/>
        <v>-1.7481167141224261E-8</v>
      </c>
      <c r="E19">
        <f t="shared" si="2"/>
        <v>3.0559120461941882E-16</v>
      </c>
    </row>
    <row r="20" spans="1:5" x14ac:dyDescent="0.25">
      <c r="A20">
        <v>1.4550084783249999</v>
      </c>
      <c r="B20">
        <v>0</v>
      </c>
      <c r="C20">
        <f t="shared" si="0"/>
        <v>2.9270997571421343E-11</v>
      </c>
      <c r="D20">
        <f t="shared" si="1"/>
        <v>-2.9270997571421343E-11</v>
      </c>
      <c r="E20">
        <f t="shared" si="2"/>
        <v>8.5679129882615409E-22</v>
      </c>
    </row>
    <row r="21" spans="1:5" x14ac:dyDescent="0.25">
      <c r="A21">
        <v>1.490090405675</v>
      </c>
      <c r="B21">
        <v>0</v>
      </c>
      <c r="C21">
        <f t="shared" si="0"/>
        <v>9.1041462516614658E-15</v>
      </c>
      <c r="D21">
        <f t="shared" si="1"/>
        <v>-9.1041462516614658E-15</v>
      </c>
      <c r="E21">
        <f t="shared" si="2"/>
        <v>8.2885478971641517E-29</v>
      </c>
    </row>
    <row r="22" spans="1:5" x14ac:dyDescent="0.25">
      <c r="A22">
        <v>1.525172333025</v>
      </c>
      <c r="B22">
        <v>0</v>
      </c>
      <c r="C22">
        <f t="shared" si="0"/>
        <v>3.633816104994807E-19</v>
      </c>
      <c r="D22">
        <f t="shared" si="1"/>
        <v>-3.633816104994807E-19</v>
      </c>
      <c r="E22">
        <f t="shared" si="2"/>
        <v>1.320461948491963E-37</v>
      </c>
    </row>
    <row r="23" spans="1:5" x14ac:dyDescent="0.25">
      <c r="A23">
        <v>1.560254260375</v>
      </c>
      <c r="B23">
        <v>0</v>
      </c>
      <c r="C23">
        <f t="shared" si="0"/>
        <v>1.1988263255154566E-24</v>
      </c>
      <c r="D23">
        <f t="shared" si="1"/>
        <v>-1.1988263255154566E-24</v>
      </c>
      <c r="E23">
        <f t="shared" si="2"/>
        <v>1.4371845587488915E-48</v>
      </c>
    </row>
    <row r="24" spans="1:5" x14ac:dyDescent="0.25">
      <c r="A24">
        <v>1.5953361877250001</v>
      </c>
      <c r="B24">
        <v>0</v>
      </c>
      <c r="C24">
        <f t="shared" si="0"/>
        <v>1.9411939635938033E-31</v>
      </c>
      <c r="D24">
        <f t="shared" si="1"/>
        <v>-1.9411939635938033E-31</v>
      </c>
      <c r="E24">
        <f t="shared" si="2"/>
        <v>3.7682340042930199E-62</v>
      </c>
    </row>
    <row r="25" spans="1:5" x14ac:dyDescent="0.25">
      <c r="A25">
        <v>1.6304181150749999</v>
      </c>
      <c r="B25">
        <v>0</v>
      </c>
      <c r="C25">
        <f t="shared" si="0"/>
        <v>8.339813607368804E-40</v>
      </c>
      <c r="D25">
        <f t="shared" si="1"/>
        <v>-8.339813607368804E-40</v>
      </c>
      <c r="E25">
        <f t="shared" si="2"/>
        <v>6.9552491005653864E-79</v>
      </c>
    </row>
    <row r="26" spans="1:5" x14ac:dyDescent="0.25">
      <c r="A26">
        <v>1.6655000424249999</v>
      </c>
      <c r="B26">
        <v>0</v>
      </c>
      <c r="C26">
        <f t="shared" si="0"/>
        <v>4.6118809718439819E-50</v>
      </c>
      <c r="D26">
        <f t="shared" si="1"/>
        <v>-4.6118809718439819E-50</v>
      </c>
      <c r="E26">
        <f t="shared" si="2"/>
        <v>2.1269446098456591E-99</v>
      </c>
    </row>
    <row r="27" spans="1:5" x14ac:dyDescent="0.25">
      <c r="A27">
        <v>1.700581969775</v>
      </c>
      <c r="B27">
        <v>0</v>
      </c>
      <c r="C27">
        <f t="shared" si="0"/>
        <v>1.4064342334714451E-62</v>
      </c>
      <c r="D27">
        <f t="shared" si="1"/>
        <v>-1.4064342334714451E-62</v>
      </c>
      <c r="E27">
        <f t="shared" si="2"/>
        <v>1.9780572530804113E-124</v>
      </c>
    </row>
    <row r="28" spans="1:5" x14ac:dyDescent="0.25">
      <c r="A28">
        <v>1.735663897125</v>
      </c>
      <c r="B28">
        <v>0</v>
      </c>
      <c r="C28">
        <f t="shared" si="0"/>
        <v>8.7893834947110521E-78</v>
      </c>
      <c r="D28">
        <f t="shared" si="1"/>
        <v>-8.7893834947110521E-78</v>
      </c>
      <c r="E28">
        <f t="shared" si="2"/>
        <v>7.7253262217099068E-155</v>
      </c>
    </row>
    <row r="29" spans="1:5" x14ac:dyDescent="0.25">
      <c r="A29">
        <v>1.7707458244750001</v>
      </c>
      <c r="B29">
        <v>0</v>
      </c>
      <c r="C29">
        <f t="shared" si="0"/>
        <v>3.5554564108750535E-96</v>
      </c>
      <c r="D29">
        <f t="shared" si="1"/>
        <v>-3.5554564108750535E-96</v>
      </c>
      <c r="E29">
        <f t="shared" si="2"/>
        <v>1.2641270289632516E-191</v>
      </c>
    </row>
    <row r="30" spans="1:5" x14ac:dyDescent="0.25">
      <c r="A30">
        <v>1.8058277518249999</v>
      </c>
      <c r="B30">
        <v>0</v>
      </c>
      <c r="C30">
        <f t="shared" si="0"/>
        <v>2.4437415818435308E-118</v>
      </c>
      <c r="D30">
        <f t="shared" si="1"/>
        <v>-2.4437415818435308E-118</v>
      </c>
      <c r="E30">
        <f t="shared" si="2"/>
        <v>5.971872918831122E-236</v>
      </c>
    </row>
    <row r="31" spans="1:5" x14ac:dyDescent="0.25">
      <c r="A31">
        <v>1.8409096791749999</v>
      </c>
      <c r="B31">
        <v>0</v>
      </c>
      <c r="C31">
        <f t="shared" si="0"/>
        <v>6.0711015035303021E-145</v>
      </c>
      <c r="D31">
        <f t="shared" si="1"/>
        <v>-6.0711015035303021E-145</v>
      </c>
      <c r="E31">
        <f t="shared" si="2"/>
        <v>3.6858273466167896E-289</v>
      </c>
    </row>
    <row r="32" spans="1:5" x14ac:dyDescent="0.25">
      <c r="A32">
        <v>1.875991606525</v>
      </c>
      <c r="B32">
        <v>0</v>
      </c>
      <c r="C32">
        <f t="shared" si="0"/>
        <v>9.1394450768250981E-177</v>
      </c>
      <c r="D32">
        <f t="shared" si="1"/>
        <v>-9.1394450768250981E-177</v>
      </c>
      <c r="E32">
        <f t="shared" si="2"/>
        <v>0</v>
      </c>
    </row>
    <row r="33" spans="1:5" x14ac:dyDescent="0.25">
      <c r="A33">
        <v>1.911073533875</v>
      </c>
      <c r="B33">
        <v>0</v>
      </c>
      <c r="C33">
        <f t="shared" si="0"/>
        <v>1.0677700868865568E-214</v>
      </c>
      <c r="D33">
        <f t="shared" si="1"/>
        <v>-1.0677700868865568E-214</v>
      </c>
      <c r="E33">
        <f t="shared" si="2"/>
        <v>0</v>
      </c>
    </row>
    <row r="34" spans="1:5" x14ac:dyDescent="0.25">
      <c r="A34">
        <v>1.946155461225</v>
      </c>
      <c r="B34">
        <v>0</v>
      </c>
      <c r="C34">
        <f t="shared" si="0"/>
        <v>9.152745959182632E-260</v>
      </c>
      <c r="D34">
        <f t="shared" si="1"/>
        <v>-9.152745959182632E-260</v>
      </c>
      <c r="E34">
        <f t="shared" si="2"/>
        <v>0</v>
      </c>
    </row>
    <row r="35" spans="1:5" x14ac:dyDescent="0.25">
      <c r="A35">
        <v>1.9812373885749999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2.0163193159250001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2.051401243275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2.0864831706249998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2.121565097975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2.1566470253249999</v>
      </c>
      <c r="B40">
        <v>1.791171627916721E-3</v>
      </c>
      <c r="C40">
        <f t="shared" si="0"/>
        <v>0</v>
      </c>
      <c r="D40">
        <f t="shared" si="1"/>
        <v>1.791171627916721E-3</v>
      </c>
      <c r="E40">
        <f t="shared" si="2"/>
        <v>3.2082958006538364E-6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5829-7225-4E4F-8331-99FEC2842B1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0.86802407641250001</v>
      </c>
      <c r="B1">
        <v>0.91474604425498263</v>
      </c>
      <c r="C1">
        <f>$H$3*(1+$H$1)*(A1^($H$1))*EXP(-$H$3*(A1^(1+$H$1)))</f>
        <v>1.0357290509380657</v>
      </c>
      <c r="D1">
        <f>B1-C1</f>
        <v>-0.12098300668308304</v>
      </c>
      <c r="E1">
        <f>D1^2</f>
        <v>1.4636887906078914E-2</v>
      </c>
      <c r="G1" t="s">
        <v>0</v>
      </c>
      <c r="H1">
        <v>15.348848332538353</v>
      </c>
    </row>
    <row r="2" spans="1:8" x14ac:dyDescent="0.25">
      <c r="A2">
        <v>0.89969210523749998</v>
      </c>
      <c r="B2">
        <v>2.1112576813173569</v>
      </c>
      <c r="C2">
        <f t="shared" ref="C2:C40" si="0">$H$3*(1+$H$1)*(A2^($H$1))*EXP(-$H$3*(A2^(1+$H$1)))</f>
        <v>1.7137343378322913</v>
      </c>
      <c r="D2">
        <f t="shared" ref="D2:D40" si="1">B2-C2</f>
        <v>0.39752334348506557</v>
      </c>
      <c r="E2">
        <f t="shared" ref="E2:E40" si="2">D2^2</f>
        <v>0.15802480861554544</v>
      </c>
    </row>
    <row r="3" spans="1:8" x14ac:dyDescent="0.25">
      <c r="A3">
        <v>0.93136013406249996</v>
      </c>
      <c r="B3">
        <v>3.9566238877319639</v>
      </c>
      <c r="C3">
        <f t="shared" si="0"/>
        <v>2.6912641493142333</v>
      </c>
      <c r="D3">
        <f t="shared" si="1"/>
        <v>1.2653597384177306</v>
      </c>
      <c r="E3">
        <f t="shared" si="2"/>
        <v>1.6011352676085877</v>
      </c>
      <c r="G3" t="s">
        <v>1</v>
      </c>
      <c r="H3">
        <f>(_xlfn.GAMMA((2+$H$1)/(1+$H$1)))^(1+$H$1)</f>
        <v>0.58957799102516095</v>
      </c>
    </row>
    <row r="4" spans="1:8" x14ac:dyDescent="0.25">
      <c r="A4">
        <v>0.96302816288749993</v>
      </c>
      <c r="B4">
        <v>5.2007578785082638</v>
      </c>
      <c r="C4">
        <f t="shared" si="0"/>
        <v>3.9318728420523104</v>
      </c>
      <c r="D4">
        <f t="shared" si="1"/>
        <v>1.2688850364559534</v>
      </c>
      <c r="E4">
        <f t="shared" si="2"/>
        <v>1.6100692357418263</v>
      </c>
    </row>
    <row r="5" spans="1:8" x14ac:dyDescent="0.25">
      <c r="A5">
        <v>0.9946961917124999</v>
      </c>
      <c r="B5">
        <v>5.7642890641230471</v>
      </c>
      <c r="C5">
        <f t="shared" si="0"/>
        <v>5.1742849726502556</v>
      </c>
      <c r="D5">
        <f t="shared" si="1"/>
        <v>0.59000409147279154</v>
      </c>
      <c r="E5">
        <f t="shared" si="2"/>
        <v>0.34810482795463416</v>
      </c>
      <c r="G5" t="s">
        <v>2</v>
      </c>
      <c r="H5">
        <f>SUM(E1:E40)</f>
        <v>6.1332313638662841</v>
      </c>
    </row>
    <row r="6" spans="1:8" x14ac:dyDescent="0.25">
      <c r="A6">
        <v>1.0263642205374999</v>
      </c>
      <c r="B6">
        <v>5.3376721454357989</v>
      </c>
      <c r="C6">
        <f t="shared" si="0"/>
        <v>5.8299991645048932</v>
      </c>
      <c r="D6">
        <f t="shared" si="1"/>
        <v>-0.49232701906909426</v>
      </c>
      <c r="E6">
        <f t="shared" si="2"/>
        <v>0.24238589370546029</v>
      </c>
    </row>
    <row r="7" spans="1:8" x14ac:dyDescent="0.25">
      <c r="A7">
        <v>1.0580322493624998</v>
      </c>
      <c r="B7">
        <v>4.0657584483263758</v>
      </c>
      <c r="C7">
        <f t="shared" si="0"/>
        <v>5.2012170536394517</v>
      </c>
      <c r="D7">
        <f t="shared" si="1"/>
        <v>-1.135458605313076</v>
      </c>
      <c r="E7">
        <f t="shared" si="2"/>
        <v>1.2892662443795155</v>
      </c>
    </row>
    <row r="8" spans="1:8" x14ac:dyDescent="0.25">
      <c r="A8">
        <v>1.0897002781874998</v>
      </c>
      <c r="B8">
        <v>2.3831019504343476</v>
      </c>
      <c r="C8">
        <f t="shared" si="0"/>
        <v>3.2638025916707103</v>
      </c>
      <c r="D8">
        <f t="shared" si="1"/>
        <v>-0.88070064123636271</v>
      </c>
      <c r="E8">
        <f t="shared" si="2"/>
        <v>0.77563361947414045</v>
      </c>
    </row>
    <row r="9" spans="1:8" x14ac:dyDescent="0.25">
      <c r="A9">
        <v>1.1213683070125</v>
      </c>
      <c r="B9">
        <v>1.4405761998462416</v>
      </c>
      <c r="C9">
        <f t="shared" si="0"/>
        <v>1.2069604455559899</v>
      </c>
      <c r="D9">
        <f t="shared" si="1"/>
        <v>0.23361575429025172</v>
      </c>
      <c r="E9">
        <f t="shared" si="2"/>
        <v>5.4576320652603268E-2</v>
      </c>
    </row>
    <row r="10" spans="1:8" x14ac:dyDescent="0.25">
      <c r="A10">
        <v>1.1530363358375</v>
      </c>
      <c r="B10">
        <v>0.40082147709220495</v>
      </c>
      <c r="C10">
        <f t="shared" si="0"/>
        <v>0.20262234649645919</v>
      </c>
      <c r="D10">
        <f t="shared" si="1"/>
        <v>0.19819913059574576</v>
      </c>
      <c r="E10">
        <f t="shared" si="2"/>
        <v>3.9282895368909485E-2</v>
      </c>
    </row>
    <row r="11" spans="1:8" x14ac:dyDescent="0.25">
      <c r="A11">
        <v>1.1847043646625002</v>
      </c>
      <c r="B11">
        <v>0</v>
      </c>
      <c r="C11">
        <f t="shared" si="0"/>
        <v>1.055535120111694E-2</v>
      </c>
      <c r="D11">
        <f t="shared" si="1"/>
        <v>-1.055535120111694E-2</v>
      </c>
      <c r="E11">
        <f t="shared" si="2"/>
        <v>1.1141543897892083E-4</v>
      </c>
    </row>
    <row r="12" spans="1:8" x14ac:dyDescent="0.25">
      <c r="A12">
        <v>1.2163723934875001</v>
      </c>
      <c r="B12">
        <v>0</v>
      </c>
      <c r="C12">
        <f t="shared" si="0"/>
        <v>9.8556827567470738E-5</v>
      </c>
      <c r="D12">
        <f t="shared" si="1"/>
        <v>-9.8556827567470738E-5</v>
      </c>
      <c r="E12">
        <f t="shared" si="2"/>
        <v>9.7134482601641593E-9</v>
      </c>
    </row>
    <row r="13" spans="1:8" x14ac:dyDescent="0.25">
      <c r="A13">
        <v>1.2480404223125001</v>
      </c>
      <c r="B13">
        <v>0</v>
      </c>
      <c r="C13">
        <f t="shared" si="0"/>
        <v>7.5315805038254858E-8</v>
      </c>
      <c r="D13">
        <f t="shared" si="1"/>
        <v>-7.5315805038254858E-8</v>
      </c>
      <c r="E13">
        <f t="shared" si="2"/>
        <v>5.672470488560416E-15</v>
      </c>
    </row>
    <row r="14" spans="1:8" x14ac:dyDescent="0.25">
      <c r="A14">
        <v>1.2797084511375001</v>
      </c>
      <c r="B14">
        <v>0</v>
      </c>
      <c r="C14">
        <f t="shared" si="0"/>
        <v>1.5537014003948123E-12</v>
      </c>
      <c r="D14">
        <f t="shared" si="1"/>
        <v>-1.5537014003948123E-12</v>
      </c>
      <c r="E14">
        <f t="shared" si="2"/>
        <v>2.4139880415888009E-24</v>
      </c>
    </row>
    <row r="15" spans="1:8" x14ac:dyDescent="0.25">
      <c r="A15">
        <v>1.3113764799625001</v>
      </c>
      <c r="B15">
        <v>0</v>
      </c>
      <c r="C15">
        <f t="shared" si="0"/>
        <v>1.8262657363845745E-19</v>
      </c>
      <c r="D15">
        <f t="shared" si="1"/>
        <v>-1.8262657363845745E-19</v>
      </c>
      <c r="E15">
        <f t="shared" si="2"/>
        <v>3.3352465398922925E-38</v>
      </c>
    </row>
    <row r="16" spans="1:8" x14ac:dyDescent="0.25">
      <c r="A16">
        <v>1.3430445087875</v>
      </c>
      <c r="B16">
        <v>0</v>
      </c>
      <c r="C16">
        <f t="shared" si="0"/>
        <v>1.4058539892006242E-29</v>
      </c>
      <c r="D16">
        <f t="shared" si="1"/>
        <v>-1.4058539892006242E-29</v>
      </c>
      <c r="E16">
        <f t="shared" si="2"/>
        <v>1.9764254389513089E-58</v>
      </c>
    </row>
    <row r="17" spans="1:5" x14ac:dyDescent="0.25">
      <c r="A17">
        <v>1.3747125376125</v>
      </c>
      <c r="B17">
        <v>0</v>
      </c>
      <c r="C17">
        <f t="shared" si="0"/>
        <v>3.5828128616766006E-44</v>
      </c>
      <c r="D17">
        <f t="shared" si="1"/>
        <v>-3.5828128616766006E-44</v>
      </c>
      <c r="E17">
        <f t="shared" si="2"/>
        <v>1.2836548001795272E-87</v>
      </c>
    </row>
    <row r="18" spans="1:5" x14ac:dyDescent="0.25">
      <c r="A18">
        <v>1.4063805664375</v>
      </c>
      <c r="B18">
        <v>0</v>
      </c>
      <c r="C18">
        <f t="shared" si="0"/>
        <v>5.0753912093028042E-65</v>
      </c>
      <c r="D18">
        <f t="shared" si="1"/>
        <v>-5.0753912093028042E-65</v>
      </c>
      <c r="E18">
        <f t="shared" si="2"/>
        <v>2.5759595927468181E-129</v>
      </c>
    </row>
    <row r="19" spans="1:5" x14ac:dyDescent="0.25">
      <c r="A19">
        <v>1.4380485952625</v>
      </c>
      <c r="B19">
        <v>0</v>
      </c>
      <c r="C19">
        <f t="shared" si="0"/>
        <v>1.544562923604027E-94</v>
      </c>
      <c r="D19">
        <f t="shared" si="1"/>
        <v>-1.544562923604027E-94</v>
      </c>
      <c r="E19">
        <f t="shared" si="2"/>
        <v>2.3856746249722191E-188</v>
      </c>
    </row>
    <row r="20" spans="1:5" x14ac:dyDescent="0.25">
      <c r="A20">
        <v>1.4697166240874999</v>
      </c>
      <c r="B20">
        <v>0</v>
      </c>
      <c r="C20">
        <f t="shared" si="0"/>
        <v>5.5811539315151572E-136</v>
      </c>
      <c r="D20">
        <f t="shared" si="1"/>
        <v>-5.5811539315151572E-136</v>
      </c>
      <c r="E20">
        <f t="shared" si="2"/>
        <v>3.1149279207267098E-271</v>
      </c>
    </row>
    <row r="21" spans="1:5" x14ac:dyDescent="0.25">
      <c r="A21">
        <v>1.5013846529124999</v>
      </c>
      <c r="B21">
        <v>0</v>
      </c>
      <c r="C21">
        <f t="shared" si="0"/>
        <v>1.0240542916005703E-193</v>
      </c>
      <c r="D21">
        <f t="shared" si="1"/>
        <v>-1.0240542916005703E-193</v>
      </c>
      <c r="E21">
        <f t="shared" si="2"/>
        <v>0</v>
      </c>
    </row>
    <row r="22" spans="1:5" x14ac:dyDescent="0.25">
      <c r="A22">
        <v>1.5330526817374999</v>
      </c>
      <c r="B22">
        <v>0</v>
      </c>
      <c r="C22">
        <f t="shared" si="0"/>
        <v>1.4354509707426612E-273</v>
      </c>
      <c r="D22">
        <f t="shared" si="1"/>
        <v>-1.4354509707426612E-273</v>
      </c>
      <c r="E22">
        <f t="shared" si="2"/>
        <v>0</v>
      </c>
    </row>
    <row r="23" spans="1:5" x14ac:dyDescent="0.25">
      <c r="A23">
        <v>1.5647207105624998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1.5963887393874998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1.6280567682124998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1.6597247970375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1.6913928258624999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1.7230608546874997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1.7547288835124997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1.7863969123374999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1.8180649411624998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1.8497329699875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1.8814009988125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1.9130690276374998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1.9447370564624997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1.9764050852874999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2.0080731141124999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2.0397411429374999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2.0714091717624998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2.1030772005874998</v>
      </c>
      <c r="B40">
        <v>1.9842647380802227E-3</v>
      </c>
      <c r="C40">
        <f t="shared" si="0"/>
        <v>0</v>
      </c>
      <c r="D40">
        <f t="shared" si="1"/>
        <v>1.9842647380802227E-3</v>
      </c>
      <c r="E40">
        <f t="shared" si="2"/>
        <v>3.9373065507885748E-6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5EC2-0D16-46AC-868A-A0046F4FF85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0.90943657618750007</v>
      </c>
      <c r="B1">
        <v>1.5376029907029654</v>
      </c>
      <c r="C1">
        <f>$H$3*(1+$H$1)*(A1^($H$1))*EXP(-$H$3*(A1^(1+$H$1)))</f>
        <v>1.5489043322887099</v>
      </c>
      <c r="D1">
        <f>B1-C1</f>
        <v>-1.1301341585744584E-2</v>
      </c>
      <c r="E1">
        <f>D1^2</f>
        <v>1.2772032163767993E-4</v>
      </c>
      <c r="G1" t="s">
        <v>0</v>
      </c>
      <c r="H1">
        <v>22.038263223282687</v>
      </c>
    </row>
    <row r="2" spans="1:8" x14ac:dyDescent="0.25">
      <c r="A2">
        <v>0.93939234056249998</v>
      </c>
      <c r="B2">
        <v>4.0275549006134979</v>
      </c>
      <c r="C2">
        <f t="shared" ref="C2:C40" si="0">$H$3*(1+$H$1)*(A2^($H$1))*EXP(-$H$3*(A2^(1+$H$1)))</f>
        <v>2.9426946955877278</v>
      </c>
      <c r="D2">
        <f t="shared" ref="D2:D40" si="1">B2-C2</f>
        <v>1.0848602050257701</v>
      </c>
      <c r="E2">
        <f t="shared" ref="E2:E40" si="2">D2^2</f>
        <v>1.1769216644485558</v>
      </c>
    </row>
    <row r="3" spans="1:8" x14ac:dyDescent="0.25">
      <c r="A3">
        <v>0.96934810493750001</v>
      </c>
      <c r="B3">
        <v>7.0566118154498989</v>
      </c>
      <c r="C3">
        <f t="shared" si="0"/>
        <v>5.0785074590546211</v>
      </c>
      <c r="D3">
        <f t="shared" si="1"/>
        <v>1.9781043563952778</v>
      </c>
      <c r="E3">
        <f t="shared" si="2"/>
        <v>3.9128968447899761</v>
      </c>
      <c r="G3" t="s">
        <v>1</v>
      </c>
      <c r="H3">
        <f>(_xlfn.GAMMA((2+$H$1)/(1+$H$1)))^(1+$H$1)</f>
        <v>0.5814390495277334</v>
      </c>
    </row>
    <row r="4" spans="1:8" x14ac:dyDescent="0.25">
      <c r="A4">
        <v>0.99930386931250004</v>
      </c>
      <c r="B4">
        <v>8.1117472920168723</v>
      </c>
      <c r="C4">
        <f t="shared" si="0"/>
        <v>7.4437529512555987</v>
      </c>
      <c r="D4">
        <f t="shared" si="1"/>
        <v>0.66799434076127362</v>
      </c>
      <c r="E4">
        <f t="shared" si="2"/>
        <v>0.44621643928908855</v>
      </c>
    </row>
    <row r="5" spans="1:8" x14ac:dyDescent="0.25">
      <c r="A5">
        <v>1.0292596336875</v>
      </c>
      <c r="B5">
        <v>6.8510387007310847</v>
      </c>
      <c r="C5">
        <f t="shared" si="0"/>
        <v>8.1705868687348406</v>
      </c>
      <c r="D5">
        <f t="shared" si="1"/>
        <v>-1.319548168003756</v>
      </c>
      <c r="E5">
        <f t="shared" si="2"/>
        <v>1.7412073676820685</v>
      </c>
      <c r="G5" t="s">
        <v>2</v>
      </c>
      <c r="H5">
        <f>SUM(E1:E40)</f>
        <v>9.5969152630060375</v>
      </c>
    </row>
    <row r="6" spans="1:8" x14ac:dyDescent="0.25">
      <c r="A6">
        <v>1.0592153980624999</v>
      </c>
      <c r="B6">
        <v>3.8702285373082828</v>
      </c>
      <c r="C6">
        <f t="shared" si="0"/>
        <v>5.3359941066662708</v>
      </c>
      <c r="D6">
        <f t="shared" si="1"/>
        <v>-1.4657655693579881</v>
      </c>
      <c r="E6">
        <f t="shared" si="2"/>
        <v>2.1484687043153468</v>
      </c>
    </row>
    <row r="7" spans="1:8" x14ac:dyDescent="0.25">
      <c r="A7">
        <v>1.0891711624375</v>
      </c>
      <c r="B7">
        <v>1.7788367477709615</v>
      </c>
      <c r="C7">
        <f t="shared" si="0"/>
        <v>1.3729387234200097</v>
      </c>
      <c r="D7">
        <f t="shared" si="1"/>
        <v>0.40589802435095179</v>
      </c>
      <c r="E7">
        <f t="shared" si="2"/>
        <v>0.16475320617200587</v>
      </c>
    </row>
    <row r="8" spans="1:8" x14ac:dyDescent="0.25">
      <c r="A8">
        <v>1.1191269268125001</v>
      </c>
      <c r="B8">
        <v>0.14683793908486709</v>
      </c>
      <c r="C8">
        <f t="shared" si="0"/>
        <v>6.7346532909481144E-2</v>
      </c>
      <c r="D8">
        <f t="shared" si="1"/>
        <v>7.9491406175385942E-2</v>
      </c>
      <c r="E8">
        <f t="shared" si="2"/>
        <v>6.3188836557401861E-3</v>
      </c>
    </row>
    <row r="9" spans="1:8" x14ac:dyDescent="0.25">
      <c r="A9">
        <v>1.1490826911875001</v>
      </c>
      <c r="B9">
        <v>0</v>
      </c>
      <c r="C9">
        <f t="shared" si="0"/>
        <v>1.7902489136461378E-4</v>
      </c>
      <c r="D9">
        <f t="shared" si="1"/>
        <v>-1.7902489136461378E-4</v>
      </c>
      <c r="E9">
        <f t="shared" si="2"/>
        <v>3.2049911728111765E-8</v>
      </c>
    </row>
    <row r="10" spans="1:8" x14ac:dyDescent="0.25">
      <c r="A10">
        <v>1.1790384555625</v>
      </c>
      <c r="B10">
        <v>0</v>
      </c>
      <c r="C10">
        <f t="shared" si="0"/>
        <v>3.0113550972647998E-9</v>
      </c>
      <c r="D10">
        <f t="shared" si="1"/>
        <v>-3.0113550972647998E-9</v>
      </c>
      <c r="E10">
        <f t="shared" si="2"/>
        <v>9.0682595218226924E-18</v>
      </c>
    </row>
    <row r="11" spans="1:8" x14ac:dyDescent="0.25">
      <c r="A11">
        <v>1.2089942199374999</v>
      </c>
      <c r="B11">
        <v>0</v>
      </c>
      <c r="C11">
        <f t="shared" si="0"/>
        <v>8.6225107340544548E-18</v>
      </c>
      <c r="D11">
        <f t="shared" si="1"/>
        <v>-8.6225107340544548E-18</v>
      </c>
      <c r="E11">
        <f t="shared" si="2"/>
        <v>7.4347691358884292E-35</v>
      </c>
    </row>
    <row r="12" spans="1:8" x14ac:dyDescent="0.25">
      <c r="A12">
        <v>1.2389499843124998</v>
      </c>
      <c r="B12">
        <v>0</v>
      </c>
      <c r="C12">
        <f t="shared" si="0"/>
        <v>1.0344334751028059E-32</v>
      </c>
      <c r="D12">
        <f t="shared" si="1"/>
        <v>-1.0344334751028059E-32</v>
      </c>
      <c r="E12">
        <f t="shared" si="2"/>
        <v>1.0700526144132673E-64</v>
      </c>
    </row>
    <row r="13" spans="1:8" x14ac:dyDescent="0.25">
      <c r="A13">
        <v>1.2689057486874999</v>
      </c>
      <c r="B13">
        <v>0</v>
      </c>
      <c r="C13">
        <f t="shared" si="0"/>
        <v>2.726597243635033E-58</v>
      </c>
      <c r="D13">
        <f t="shared" si="1"/>
        <v>-2.726597243635033E-58</v>
      </c>
      <c r="E13">
        <f t="shared" si="2"/>
        <v>7.4343325289981592E-116</v>
      </c>
    </row>
    <row r="14" spans="1:8" x14ac:dyDescent="0.25">
      <c r="A14">
        <v>1.2988615130625001</v>
      </c>
      <c r="B14">
        <v>0</v>
      </c>
      <c r="C14">
        <f t="shared" si="0"/>
        <v>1.8147348183979288E-101</v>
      </c>
      <c r="D14">
        <f t="shared" si="1"/>
        <v>-1.8147348183979288E-101</v>
      </c>
      <c r="E14">
        <f t="shared" si="2"/>
        <v>3.2932624611057635E-202</v>
      </c>
    </row>
    <row r="15" spans="1:8" x14ac:dyDescent="0.25">
      <c r="A15">
        <v>1.3288172774375</v>
      </c>
      <c r="B15">
        <v>0</v>
      </c>
      <c r="C15">
        <f t="shared" si="0"/>
        <v>2.2933569511020755E-173</v>
      </c>
      <c r="D15">
        <f t="shared" si="1"/>
        <v>-2.2933569511020755E-173</v>
      </c>
      <c r="E15">
        <f t="shared" si="2"/>
        <v>0</v>
      </c>
    </row>
    <row r="16" spans="1:8" x14ac:dyDescent="0.25">
      <c r="A16">
        <v>1.3587730418124999</v>
      </c>
      <c r="B16">
        <v>0</v>
      </c>
      <c r="C16">
        <f t="shared" si="0"/>
        <v>1.2641945817045233E-291</v>
      </c>
      <c r="D16">
        <f t="shared" si="1"/>
        <v>-1.2641945817045233E-291</v>
      </c>
      <c r="E16">
        <f t="shared" si="2"/>
        <v>0</v>
      </c>
    </row>
    <row r="17" spans="1:5" x14ac:dyDescent="0.25">
      <c r="A17">
        <v>1.3887288061874998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1.4186845705625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1.4486403349375001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1.4785960993125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1.5085518636874999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1.5385076280625001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1.5684633924375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1.5984191568124999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1.6283749211875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1.6583306855625002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1.6882864499375003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1.7182422143125002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1.7481979786875002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1.7781537430625001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1.8081095074375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1.8380652718124999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1.8680210361875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1.8979768005625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1.9279325649375001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1.9578883293125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1.9878440936875004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2.0177998580625003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2.0477556224375002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2.0777113868125001</v>
      </c>
      <c r="B40">
        <v>2.0976848440695298E-3</v>
      </c>
      <c r="C40">
        <f t="shared" si="0"/>
        <v>0</v>
      </c>
      <c r="D40">
        <f t="shared" si="1"/>
        <v>2.0976848440695298E-3</v>
      </c>
      <c r="E40">
        <f t="shared" si="2"/>
        <v>4.4002817050390076E-6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3958-C0B6-4C5D-8B52-99D0ACBDAB5E}">
  <dimension ref="A1:H40"/>
  <sheetViews>
    <sheetView workbookViewId="0">
      <selection activeCell="M13" sqref="M13"/>
    </sheetView>
  </sheetViews>
  <sheetFormatPr defaultColWidth="11" defaultRowHeight="15.75" x14ac:dyDescent="0.25"/>
  <sheetData>
    <row r="1" spans="1:8" x14ac:dyDescent="0.25">
      <c r="A1">
        <v>0.96601472437499991</v>
      </c>
      <c r="B1">
        <v>6.1345349378617744</v>
      </c>
      <c r="C1">
        <f>$H$3*(1+$H$1)*(A1^($H$1))*EXP(-$H$3*(A1^(1+$H$1)))</f>
        <v>3.2225504177021449</v>
      </c>
      <c r="D1">
        <f>B1-C1</f>
        <v>2.9119845201596295</v>
      </c>
      <c r="E1">
        <f>D1^2</f>
        <v>8.4796538456493078</v>
      </c>
      <c r="G1" t="s">
        <v>0</v>
      </c>
      <c r="H1">
        <v>72.985282325174495</v>
      </c>
    </row>
    <row r="2" spans="1:8" x14ac:dyDescent="0.25">
      <c r="A2">
        <v>0.99365109112499994</v>
      </c>
      <c r="B2">
        <v>16.891571554253197</v>
      </c>
      <c r="C2">
        <f t="shared" ref="C2:C40" si="0">$H$3*(1+$H$1)*(A2^($H$1))*EXP(-$H$3*(A2^(1+$H$1)))</f>
        <v>18.51282615268433</v>
      </c>
      <c r="D2">
        <f t="shared" ref="D2:D40" si="1">B2-C2</f>
        <v>-1.6212545984311326</v>
      </c>
      <c r="E2">
        <f t="shared" ref="E2:E40" si="2">D2^2</f>
        <v>2.6284664729340932</v>
      </c>
    </row>
    <row r="3" spans="1:8" x14ac:dyDescent="0.25">
      <c r="A3">
        <v>1.021287457875</v>
      </c>
      <c r="B3">
        <v>11.564212266110076</v>
      </c>
      <c r="C3">
        <f t="shared" si="0"/>
        <v>13.167378367665457</v>
      </c>
      <c r="D3">
        <f t="shared" si="1"/>
        <v>-1.6031661015553809</v>
      </c>
      <c r="E3">
        <f t="shared" si="2"/>
        <v>2.5701415491762778</v>
      </c>
      <c r="G3" t="s">
        <v>1</v>
      </c>
      <c r="H3">
        <f>(_xlfn.GAMMA((2+$H$1)/(1+$H$1)))^(1+$H$1)</f>
        <v>0.56769466090707621</v>
      </c>
    </row>
    <row r="4" spans="1:8" x14ac:dyDescent="0.25">
      <c r="A4">
        <v>1.0489238246249999</v>
      </c>
      <c r="B4">
        <v>1.5893402229671536</v>
      </c>
      <c r="C4">
        <f t="shared" si="0"/>
        <v>4.9131481905352394E-6</v>
      </c>
      <c r="D4">
        <f t="shared" si="1"/>
        <v>1.5893353098189631</v>
      </c>
      <c r="E4">
        <f t="shared" si="2"/>
        <v>2.5259867270373393</v>
      </c>
    </row>
    <row r="5" spans="1:8" x14ac:dyDescent="0.25">
      <c r="A5">
        <v>1.076560191375</v>
      </c>
      <c r="B5">
        <v>2.2737342245595905E-3</v>
      </c>
      <c r="C5">
        <f t="shared" si="0"/>
        <v>1.3090594159033162E-54</v>
      </c>
      <c r="D5">
        <f t="shared" si="1"/>
        <v>2.2737342245595905E-3</v>
      </c>
      <c r="E5">
        <f t="shared" si="2"/>
        <v>5.1698673239336018E-6</v>
      </c>
      <c r="G5" t="s">
        <v>2</v>
      </c>
      <c r="H5">
        <f>SUM(E1:E40)</f>
        <v>16.204258934531669</v>
      </c>
    </row>
    <row r="6" spans="1:8" x14ac:dyDescent="0.25">
      <c r="A6">
        <v>1.1041965581249999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1.1318329248749999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1.1594692916249998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1.1871056583749999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1.2147420251249998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1.242378391875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1.2700147586250001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1.297651125375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1.325287492125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1.3529238588750001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1.380560225625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1.4081965923749999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1.4358329591249999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1.463469325875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1.4911056926249999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1.5187420593749998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1.546378426125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1.5740147928749999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1.6016511596249998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1.629287526375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1.6569238931250001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1.684560259875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1.7121966266249999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1.7398329933750001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1.7674693601250002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1.7951057268750001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1.8227420936250001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1.850378460375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1.8780148271249999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1.9056511938749998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1.933287560625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1.9609239273750001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1.988560294125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2.0161966608749999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2.0438330276249999</v>
      </c>
      <c r="B40">
        <v>2.2737342245595905E-3</v>
      </c>
      <c r="C40">
        <f t="shared" si="0"/>
        <v>0</v>
      </c>
      <c r="D40">
        <f t="shared" si="1"/>
        <v>2.2737342245595905E-3</v>
      </c>
      <c r="E40">
        <f t="shared" si="2"/>
        <v>5.1698673239336018E-6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CDE4-4B3C-4CE2-BEC8-5E929FCAF4D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0.99795336517500011</v>
      </c>
      <c r="B1">
        <v>36.339167898035583</v>
      </c>
      <c r="C1">
        <f>$H$3*(1+$H$1)*(A1^($H$1))*EXP(-$H$3*(A1^(1+$H$1)))</f>
        <v>36.328617937712181</v>
      </c>
      <c r="D1">
        <f>B1-C1</f>
        <v>1.0549960323402274E-2</v>
      </c>
      <c r="E1">
        <f>D1^2</f>
        <v>1.1130166282536222E-4</v>
      </c>
      <c r="G1" t="s">
        <v>0</v>
      </c>
      <c r="H1">
        <v>127.95495655632539</v>
      </c>
    </row>
    <row r="2" spans="1:8" x14ac:dyDescent="0.25">
      <c r="A2">
        <v>1.024302941525</v>
      </c>
      <c r="B2">
        <v>1.6073368659453984</v>
      </c>
      <c r="C2">
        <f t="shared" ref="C2:C40" si="0">$H$3*(1+$H$1)*(A2^($H$1))*EXP(-$H$3*(A2^(1+$H$1)))</f>
        <v>5.8701432918274133E-3</v>
      </c>
      <c r="D2">
        <f t="shared" ref="D2:D40" si="1">B2-C2</f>
        <v>1.601466722653571</v>
      </c>
      <c r="E2">
        <f t="shared" ref="E2:E40" si="2">D2^2</f>
        <v>2.5646956637667699</v>
      </c>
    </row>
    <row r="3" spans="1:8" x14ac:dyDescent="0.25">
      <c r="A3">
        <v>1.0506525178750001</v>
      </c>
      <c r="B3">
        <v>0</v>
      </c>
      <c r="C3">
        <f t="shared" si="0"/>
        <v>1.0462010947700798E-139</v>
      </c>
      <c r="D3">
        <f t="shared" si="1"/>
        <v>-1.0462010947700798E-139</v>
      </c>
      <c r="E3">
        <f t="shared" si="2"/>
        <v>1.0945367306981135E-278</v>
      </c>
      <c r="G3" t="s">
        <v>1</v>
      </c>
      <c r="H3">
        <f>(_xlfn.GAMMA((2+$H$1)/(1+$H$1)))^(1+$H$1)</f>
        <v>0.56503833868226883</v>
      </c>
    </row>
    <row r="4" spans="1:8" x14ac:dyDescent="0.25">
      <c r="A4">
        <v>1.077002094225</v>
      </c>
      <c r="B4">
        <v>2.3847727981385733E-3</v>
      </c>
      <c r="C4">
        <f t="shared" si="0"/>
        <v>0</v>
      </c>
      <c r="D4">
        <f t="shared" si="1"/>
        <v>2.3847727981385733E-3</v>
      </c>
      <c r="E4">
        <f t="shared" si="2"/>
        <v>5.6871412987416805E-6</v>
      </c>
    </row>
    <row r="5" spans="1:8" x14ac:dyDescent="0.25">
      <c r="A5">
        <v>1.1033516705750002</v>
      </c>
      <c r="B5">
        <v>0</v>
      </c>
      <c r="C5">
        <f t="shared" si="0"/>
        <v>0</v>
      </c>
      <c r="D5">
        <f t="shared" si="1"/>
        <v>0</v>
      </c>
      <c r="E5">
        <f t="shared" si="2"/>
        <v>0</v>
      </c>
      <c r="G5" t="s">
        <v>2</v>
      </c>
      <c r="H5">
        <f>SUM(E1:E40)</f>
        <v>2.5648183397121929</v>
      </c>
    </row>
    <row r="6" spans="1:8" x14ac:dyDescent="0.25">
      <c r="A6">
        <v>1.1297012469250001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1.156050823275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1.1824003996250001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1.208749975975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1.2350995523250001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1.261449128675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1.2877987050249999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1.3141482813750001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1.340497857725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1.3668474340749999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1.393197010425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1.4195465867749999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1.445896163125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1.4722457394749999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1.4985953158249998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1.524944892175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1.5512944685250001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1.577644044875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1.6039936212249999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1.6303431975749998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1.6566927739249999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1.683042350275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1.7093919266249999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1.7357415029749999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1.7620910793249998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1.7884406556750001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1.814790232025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1.8411398083749999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1.8674893847249998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1.8938389610749997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1.9201885374250001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1.946538113775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1.9728876901249999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1.9992372664749998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2.0255868428249997</v>
      </c>
      <c r="B40">
        <v>2.3847727981385733E-3</v>
      </c>
      <c r="C40">
        <f t="shared" si="0"/>
        <v>0</v>
      </c>
      <c r="D40">
        <f t="shared" si="1"/>
        <v>2.3847727981385733E-3</v>
      </c>
      <c r="E40">
        <f t="shared" si="2"/>
        <v>5.6871412987416805E-6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2024-10-06T01:19:32Z</dcterms:modified>
</cp:coreProperties>
</file>